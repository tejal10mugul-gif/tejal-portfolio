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ul\Downloads\"/>
    </mc:Choice>
  </mc:AlternateContent>
  <xr:revisionPtr revIDLastSave="0" documentId="8_{8728B22C-7A77-45C6-A34F-50E84A2EF4B9}" xr6:coauthVersionLast="47" xr6:coauthVersionMax="47" xr10:uidLastSave="{00000000-0000-0000-0000-000000000000}"/>
  <bookViews>
    <workbookView xWindow="-110" yWindow="-110" windowWidth="19420" windowHeight="11500" xr2:uid="{0EF499EE-BBD7-4277-922E-EE2ED8DF61B5}"/>
  </bookViews>
  <sheets>
    <sheet name="Siz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0" i="1" l="1"/>
  <c r="AC30" i="1"/>
  <c r="AB30" i="1"/>
  <c r="AA30" i="1"/>
  <c r="Z30" i="1"/>
  <c r="K30" i="1" s="1"/>
  <c r="P30" i="1" s="1"/>
  <c r="Y30" i="1"/>
  <c r="X30" i="1"/>
  <c r="W30" i="1"/>
  <c r="V30" i="1"/>
  <c r="U30" i="1"/>
  <c r="T30" i="1"/>
  <c r="S30" i="1"/>
  <c r="D30" i="1" s="1"/>
  <c r="O30" i="1"/>
  <c r="N30" i="1"/>
  <c r="M30" i="1"/>
  <c r="L30" i="1"/>
  <c r="J30" i="1"/>
  <c r="I30" i="1"/>
  <c r="H30" i="1"/>
  <c r="G30" i="1"/>
  <c r="F30" i="1"/>
  <c r="E30" i="1"/>
  <c r="O29" i="1"/>
  <c r="N29" i="1"/>
  <c r="M29" i="1"/>
  <c r="L29" i="1"/>
  <c r="K29" i="1"/>
  <c r="P29" i="1" s="1"/>
  <c r="J29" i="1"/>
  <c r="I29" i="1"/>
  <c r="H29" i="1"/>
  <c r="G29" i="1"/>
  <c r="F29" i="1"/>
  <c r="E29" i="1"/>
  <c r="D29" i="1"/>
  <c r="O28" i="1"/>
  <c r="N28" i="1"/>
  <c r="M28" i="1"/>
  <c r="L28" i="1"/>
  <c r="K28" i="1"/>
  <c r="P28" i="1" s="1"/>
  <c r="J28" i="1"/>
  <c r="I28" i="1"/>
  <c r="H28" i="1"/>
  <c r="G28" i="1"/>
  <c r="F28" i="1"/>
  <c r="E28" i="1"/>
  <c r="D28" i="1"/>
  <c r="AD26" i="1"/>
  <c r="AC26" i="1"/>
  <c r="N26" i="1" s="1"/>
  <c r="AB26" i="1"/>
  <c r="AA26" i="1"/>
  <c r="Z26" i="1"/>
  <c r="Y26" i="1"/>
  <c r="X26" i="1"/>
  <c r="W26" i="1"/>
  <c r="V26" i="1"/>
  <c r="G26" i="1" s="1"/>
  <c r="U26" i="1"/>
  <c r="T26" i="1"/>
  <c r="S26" i="1"/>
  <c r="O26" i="1"/>
  <c r="M26" i="1"/>
  <c r="L26" i="1"/>
  <c r="K26" i="1"/>
  <c r="P26" i="1" s="1"/>
  <c r="J26" i="1"/>
  <c r="I26" i="1"/>
  <c r="H26" i="1"/>
  <c r="F26" i="1"/>
  <c r="E26" i="1"/>
  <c r="D26" i="1"/>
  <c r="O25" i="1"/>
  <c r="N25" i="1"/>
  <c r="M25" i="1"/>
  <c r="L25" i="1"/>
  <c r="K25" i="1"/>
  <c r="P25" i="1" s="1"/>
  <c r="J25" i="1"/>
  <c r="I25" i="1"/>
  <c r="H25" i="1"/>
  <c r="G25" i="1"/>
  <c r="F25" i="1"/>
  <c r="E25" i="1"/>
  <c r="D25" i="1"/>
  <c r="O24" i="1"/>
  <c r="N24" i="1"/>
  <c r="M24" i="1"/>
  <c r="L24" i="1"/>
  <c r="K24" i="1"/>
  <c r="P24" i="1" s="1"/>
  <c r="J24" i="1"/>
  <c r="I24" i="1"/>
  <c r="H24" i="1"/>
  <c r="G24" i="1"/>
  <c r="F24" i="1"/>
  <c r="E24" i="1"/>
  <c r="D24" i="1"/>
  <c r="O23" i="1"/>
  <c r="N23" i="1"/>
  <c r="M23" i="1"/>
  <c r="L23" i="1"/>
  <c r="K23" i="1"/>
  <c r="P23" i="1" s="1"/>
  <c r="J23" i="1"/>
  <c r="I23" i="1"/>
  <c r="H23" i="1"/>
  <c r="G23" i="1"/>
  <c r="F23" i="1"/>
  <c r="E23" i="1"/>
  <c r="D23" i="1"/>
  <c r="AD21" i="1"/>
  <c r="AC21" i="1"/>
  <c r="AB21" i="1"/>
  <c r="AA21" i="1"/>
  <c r="Z21" i="1"/>
  <c r="K21" i="1" s="1"/>
  <c r="P21" i="1" s="1"/>
  <c r="Y21" i="1"/>
  <c r="X21" i="1"/>
  <c r="W21" i="1"/>
  <c r="V21" i="1"/>
  <c r="U21" i="1"/>
  <c r="F21" i="1" s="1"/>
  <c r="T21" i="1"/>
  <c r="S21" i="1"/>
  <c r="O21" i="1"/>
  <c r="N21" i="1"/>
  <c r="M21" i="1"/>
  <c r="L21" i="1"/>
  <c r="J21" i="1"/>
  <c r="I21" i="1"/>
  <c r="H21" i="1"/>
  <c r="G21" i="1"/>
  <c r="E21" i="1"/>
  <c r="D21" i="1"/>
  <c r="O20" i="1"/>
  <c r="P20" i="1" s="1"/>
  <c r="N20" i="1"/>
  <c r="M20" i="1"/>
  <c r="L20" i="1"/>
  <c r="K20" i="1"/>
  <c r="J20" i="1"/>
  <c r="I20" i="1"/>
  <c r="H20" i="1"/>
  <c r="G20" i="1"/>
  <c r="F20" i="1"/>
  <c r="E20" i="1"/>
  <c r="D20" i="1"/>
  <c r="O19" i="1"/>
  <c r="P19" i="1" s="1"/>
  <c r="N19" i="1"/>
  <c r="M19" i="1"/>
  <c r="L19" i="1"/>
  <c r="K19" i="1"/>
  <c r="J19" i="1"/>
  <c r="I19" i="1"/>
  <c r="H19" i="1"/>
  <c r="G19" i="1"/>
  <c r="F19" i="1"/>
  <c r="E19" i="1"/>
  <c r="D19" i="1"/>
  <c r="AD17" i="1"/>
  <c r="AC17" i="1"/>
  <c r="N17" i="1" s="1"/>
  <c r="AB17" i="1"/>
  <c r="AA17" i="1"/>
  <c r="Z17" i="1"/>
  <c r="Y17" i="1"/>
  <c r="X17" i="1"/>
  <c r="I17" i="1" s="1"/>
  <c r="W17" i="1"/>
  <c r="V17" i="1"/>
  <c r="U17" i="1"/>
  <c r="T17" i="1"/>
  <c r="S17" i="1"/>
  <c r="O17" i="1"/>
  <c r="P17" i="1" s="1"/>
  <c r="M17" i="1"/>
  <c r="L17" i="1"/>
  <c r="K17" i="1"/>
  <c r="J17" i="1"/>
  <c r="H17" i="1"/>
  <c r="G17" i="1"/>
  <c r="F17" i="1"/>
  <c r="E17" i="1"/>
  <c r="D17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O15" i="1"/>
  <c r="N15" i="1"/>
  <c r="M15" i="1"/>
  <c r="L15" i="1"/>
  <c r="K15" i="1"/>
  <c r="P15" i="1" s="1"/>
  <c r="J15" i="1"/>
  <c r="I15" i="1"/>
  <c r="H15" i="1"/>
  <c r="G15" i="1"/>
  <c r="F15" i="1"/>
  <c r="E15" i="1"/>
  <c r="D15" i="1"/>
  <c r="AD13" i="1"/>
  <c r="AC13" i="1"/>
  <c r="AB13" i="1"/>
  <c r="AA13" i="1"/>
  <c r="Z13" i="1"/>
  <c r="K13" i="1" s="1"/>
  <c r="P13" i="1" s="1"/>
  <c r="Y13" i="1"/>
  <c r="X13" i="1"/>
  <c r="W13" i="1"/>
  <c r="V13" i="1"/>
  <c r="U13" i="1"/>
  <c r="T13" i="1"/>
  <c r="E13" i="1" s="1"/>
  <c r="S13" i="1"/>
  <c r="D13" i="1" s="1"/>
  <c r="O13" i="1"/>
  <c r="N13" i="1"/>
  <c r="M13" i="1"/>
  <c r="L13" i="1"/>
  <c r="J13" i="1"/>
  <c r="I13" i="1"/>
  <c r="H13" i="1"/>
  <c r="G13" i="1"/>
  <c r="F13" i="1"/>
  <c r="O12" i="1"/>
  <c r="N12" i="1"/>
  <c r="M12" i="1"/>
  <c r="L12" i="1"/>
  <c r="K12" i="1"/>
  <c r="P12" i="1" s="1"/>
  <c r="J12" i="1"/>
  <c r="I12" i="1"/>
  <c r="H12" i="1"/>
  <c r="G12" i="1"/>
  <c r="F12" i="1"/>
  <c r="E12" i="1"/>
  <c r="D12" i="1"/>
  <c r="O11" i="1"/>
  <c r="N11" i="1"/>
  <c r="M11" i="1"/>
  <c r="L11" i="1"/>
  <c r="K11" i="1"/>
  <c r="P11" i="1" s="1"/>
  <c r="J11" i="1"/>
  <c r="I11" i="1"/>
  <c r="H11" i="1"/>
  <c r="G11" i="1"/>
  <c r="F11" i="1"/>
  <c r="E11" i="1"/>
  <c r="D11" i="1"/>
  <c r="O10" i="1"/>
  <c r="N10" i="1"/>
  <c r="M10" i="1"/>
  <c r="L10" i="1"/>
  <c r="K10" i="1"/>
  <c r="P10" i="1" s="1"/>
  <c r="J10" i="1"/>
  <c r="I10" i="1"/>
  <c r="H10" i="1"/>
  <c r="G10" i="1"/>
  <c r="F10" i="1"/>
  <c r="E10" i="1"/>
  <c r="D10" i="1"/>
  <c r="T9" i="1"/>
  <c r="U9" i="1" s="1"/>
  <c r="V9" i="1" s="1"/>
  <c r="W9" i="1" s="1"/>
  <c r="X9" i="1" s="1"/>
  <c r="Y9" i="1" s="1"/>
  <c r="Z9" i="1" s="1"/>
  <c r="AA9" i="1" s="1"/>
  <c r="AB9" i="1" s="1"/>
  <c r="AC9" i="1" s="1"/>
  <c r="AD9" i="1" s="1"/>
  <c r="O9" i="1"/>
  <c r="N9" i="1"/>
  <c r="L9" i="1"/>
  <c r="K9" i="1"/>
  <c r="J9" i="1"/>
  <c r="I9" i="1"/>
  <c r="H9" i="1"/>
  <c r="O8" i="1"/>
  <c r="N8" i="1"/>
  <c r="M8" i="1"/>
  <c r="M9" i="1" s="1"/>
  <c r="L8" i="1"/>
  <c r="K8" i="1"/>
  <c r="J8" i="1"/>
  <c r="I8" i="1"/>
  <c r="H8" i="1"/>
  <c r="G8" i="1"/>
  <c r="G9" i="1" s="1"/>
  <c r="F8" i="1"/>
  <c r="F9" i="1" s="1"/>
  <c r="E8" i="1"/>
  <c r="P7" i="1"/>
  <c r="F6" i="1"/>
  <c r="G6" i="1" s="1"/>
  <c r="H6" i="1" s="1"/>
  <c r="I6" i="1" s="1"/>
  <c r="J6" i="1" s="1"/>
  <c r="K6" i="1" s="1"/>
  <c r="L6" i="1" s="1"/>
  <c r="M6" i="1" s="1"/>
  <c r="N6" i="1" s="1"/>
  <c r="O6" i="1" s="1"/>
  <c r="E6" i="1"/>
</calcChain>
</file>

<file path=xl/sharedStrings.xml><?xml version="1.0" encoding="utf-8"?>
<sst xmlns="http://schemas.openxmlformats.org/spreadsheetml/2006/main" count="43" uniqueCount="25">
  <si>
    <t>United States</t>
  </si>
  <si>
    <t>CAGR % (2027-2031)</t>
  </si>
  <si>
    <t>Y-O-Y%</t>
  </si>
  <si>
    <t>Y-O-Y Change %</t>
  </si>
  <si>
    <t>Type</t>
  </si>
  <si>
    <t>Machine Learning</t>
  </si>
  <si>
    <t>Deep Learning</t>
  </si>
  <si>
    <t>Natural Language Processing</t>
  </si>
  <si>
    <t>Computer Vision</t>
  </si>
  <si>
    <t>Deployment</t>
  </si>
  <si>
    <t>On-Premises</t>
  </si>
  <si>
    <t>Cloud</t>
  </si>
  <si>
    <t>Hybrid</t>
  </si>
  <si>
    <t>Product</t>
  </si>
  <si>
    <t>Hardware</t>
  </si>
  <si>
    <t>Software</t>
  </si>
  <si>
    <t>Services</t>
  </si>
  <si>
    <t>Consulting</t>
  </si>
  <si>
    <t>System Integration</t>
  </si>
  <si>
    <t>Support and Maintenance</t>
  </si>
  <si>
    <t>Managed Services</t>
  </si>
  <si>
    <t>End User</t>
  </si>
  <si>
    <t>Semiconductor Manufacturers</t>
  </si>
  <si>
    <t>Foundries</t>
  </si>
  <si>
    <t>Integrated Device Manufacturers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</si>
</sst>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0.0%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5" fontId="2" fillId="4" borderId="8" xfId="1" applyNumberFormat="1" applyFont="1" applyFill="1" applyBorder="1" applyAlignment="1">
      <alignment horizontal="center"/>
    </xf>
    <xf numFmtId="165" fontId="2" fillId="4" borderId="9" xfId="1" applyNumberFormat="1" applyFont="1" applyFill="1" applyBorder="1" applyAlignment="1">
      <alignment horizontal="center"/>
    </xf>
    <xf numFmtId="166" fontId="0" fillId="4" borderId="10" xfId="2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1" xfId="0" applyBorder="1"/>
    <xf numFmtId="0" fontId="4" fillId="0" borderId="0" xfId="0" applyFont="1"/>
    <xf numFmtId="0" fontId="0" fillId="4" borderId="0" xfId="0" applyFill="1"/>
    <xf numFmtId="9" fontId="0" fillId="4" borderId="0" xfId="2" applyFont="1" applyFill="1" applyBorder="1"/>
    <xf numFmtId="166" fontId="0" fillId="4" borderId="12" xfId="2" applyNumberFormat="1" applyFont="1" applyFill="1" applyBorder="1" applyAlignment="1">
      <alignment horizontal="center"/>
    </xf>
    <xf numFmtId="9" fontId="4" fillId="0" borderId="0" xfId="0" applyNumberFormat="1" applyFont="1"/>
    <xf numFmtId="166" fontId="0" fillId="0" borderId="12" xfId="2" applyNumberFormat="1" applyFont="1" applyBorder="1" applyAlignment="1">
      <alignment horizontal="center"/>
    </xf>
    <xf numFmtId="0" fontId="5" fillId="5" borderId="13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left" vertical="center" wrapText="1"/>
    </xf>
    <xf numFmtId="165" fontId="0" fillId="6" borderId="9" xfId="0" applyNumberFormat="1" applyFill="1" applyBorder="1" applyAlignment="1">
      <alignment horizontal="center" wrapText="1"/>
    </xf>
    <xf numFmtId="166" fontId="0" fillId="6" borderId="10" xfId="2" applyNumberFormat="1" applyFont="1" applyFill="1" applyBorder="1" applyAlignment="1">
      <alignment horizontal="center"/>
    </xf>
    <xf numFmtId="0" fontId="0" fillId="0" borderId="14" xfId="0" applyBorder="1"/>
    <xf numFmtId="0" fontId="6" fillId="6" borderId="9" xfId="0" applyFont="1" applyFill="1" applyBorder="1" applyAlignment="1">
      <alignment horizontal="left" vertical="center"/>
    </xf>
    <xf numFmtId="165" fontId="0" fillId="6" borderId="9" xfId="0" applyNumberFormat="1" applyFill="1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left" vertical="center" wrapText="1"/>
    </xf>
    <xf numFmtId="165" fontId="0" fillId="6" borderId="16" xfId="0" applyNumberFormat="1" applyFill="1" applyBorder="1" applyAlignment="1">
      <alignment horizontal="center" wrapText="1"/>
    </xf>
    <xf numFmtId="166" fontId="0" fillId="6" borderId="17" xfId="2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 wrapText="1"/>
    </xf>
    <xf numFmtId="0" fontId="7" fillId="5" borderId="18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left" vertical="center" wrapText="1"/>
    </xf>
    <xf numFmtId="165" fontId="0" fillId="7" borderId="19" xfId="0" applyNumberFormat="1" applyFill="1" applyBorder="1" applyAlignment="1">
      <alignment horizontal="center" wrapText="1"/>
    </xf>
    <xf numFmtId="166" fontId="0" fillId="7" borderId="20" xfId="2" applyNumberFormat="1" applyFont="1" applyFill="1" applyBorder="1" applyAlignment="1">
      <alignment horizontal="center"/>
    </xf>
    <xf numFmtId="0" fontId="6" fillId="7" borderId="9" xfId="0" applyFont="1" applyFill="1" applyBorder="1" applyAlignment="1">
      <alignment horizontal="left" vertical="center"/>
    </xf>
    <xf numFmtId="9" fontId="0" fillId="0" borderId="0" xfId="0" applyNumberFormat="1"/>
    <xf numFmtId="0" fontId="7" fillId="5" borderId="13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left" vertical="center" wrapText="1"/>
    </xf>
    <xf numFmtId="165" fontId="0" fillId="7" borderId="9" xfId="0" applyNumberFormat="1" applyFill="1" applyBorder="1" applyAlignment="1">
      <alignment horizontal="center" wrapText="1"/>
    </xf>
    <xf numFmtId="166" fontId="0" fillId="7" borderId="10" xfId="2" applyNumberFormat="1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left" vertical="center" wrapText="1"/>
    </xf>
    <xf numFmtId="165" fontId="0" fillId="7" borderId="16" xfId="0" applyNumberFormat="1" applyFill="1" applyBorder="1" applyAlignment="1">
      <alignment horizontal="center" wrapText="1"/>
    </xf>
    <xf numFmtId="166" fontId="0" fillId="7" borderId="17" xfId="2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0" fillId="0" borderId="21" xfId="0" applyBorder="1"/>
    <xf numFmtId="0" fontId="6" fillId="0" borderId="19" xfId="0" applyFont="1" applyBorder="1" applyAlignment="1">
      <alignment horizontal="left" vertical="center"/>
    </xf>
    <xf numFmtId="0" fontId="7" fillId="5" borderId="22" xfId="0" applyFont="1" applyFill="1" applyBorder="1" applyAlignment="1">
      <alignment horizontal="center" vertical="center" wrapText="1"/>
    </xf>
    <xf numFmtId="0" fontId="0" fillId="8" borderId="19" xfId="0" applyFill="1" applyBorder="1" applyAlignment="1">
      <alignment wrapText="1"/>
    </xf>
    <xf numFmtId="165" fontId="0" fillId="8" borderId="19" xfId="0" applyNumberFormat="1" applyFill="1" applyBorder="1" applyAlignment="1">
      <alignment horizontal="center" wrapText="1"/>
    </xf>
    <xf numFmtId="166" fontId="0" fillId="8" borderId="20" xfId="2" applyNumberFormat="1" applyFont="1" applyFill="1" applyBorder="1" applyAlignment="1">
      <alignment horizontal="center"/>
    </xf>
    <xf numFmtId="0" fontId="0" fillId="8" borderId="9" xfId="0" applyFill="1" applyBorder="1"/>
    <xf numFmtId="0" fontId="0" fillId="8" borderId="9" xfId="0" applyFill="1" applyBorder="1" applyAlignment="1">
      <alignment wrapText="1"/>
    </xf>
    <xf numFmtId="165" fontId="0" fillId="8" borderId="9" xfId="0" applyNumberFormat="1" applyFill="1" applyBorder="1" applyAlignment="1">
      <alignment horizontal="center" wrapText="1"/>
    </xf>
    <xf numFmtId="166" fontId="0" fillId="8" borderId="10" xfId="2" applyNumberFormat="1" applyFont="1" applyFill="1" applyBorder="1" applyAlignment="1">
      <alignment horizontal="center"/>
    </xf>
    <xf numFmtId="0" fontId="0" fillId="8" borderId="16" xfId="0" applyFill="1" applyBorder="1" applyAlignment="1">
      <alignment wrapText="1"/>
    </xf>
    <xf numFmtId="165" fontId="0" fillId="8" borderId="16" xfId="0" applyNumberFormat="1" applyFill="1" applyBorder="1" applyAlignment="1">
      <alignment horizontal="center" wrapText="1"/>
    </xf>
    <xf numFmtId="166" fontId="0" fillId="8" borderId="17" xfId="2" applyNumberFormat="1" applyFont="1" applyFill="1" applyBorder="1" applyAlignment="1">
      <alignment horizontal="center"/>
    </xf>
    <xf numFmtId="0" fontId="5" fillId="5" borderId="22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left" vertical="center" wrapText="1"/>
    </xf>
    <xf numFmtId="165" fontId="0" fillId="9" borderId="19" xfId="0" applyNumberFormat="1" applyFill="1" applyBorder="1" applyAlignment="1">
      <alignment horizontal="center" wrapText="1"/>
    </xf>
    <xf numFmtId="166" fontId="0" fillId="9" borderId="20" xfId="2" applyNumberFormat="1" applyFont="1" applyFill="1" applyBorder="1" applyAlignment="1">
      <alignment horizontal="center"/>
    </xf>
    <xf numFmtId="0" fontId="6" fillId="9" borderId="9" xfId="0" applyFont="1" applyFill="1" applyBorder="1" applyAlignment="1">
      <alignment horizontal="left" vertical="center"/>
    </xf>
    <xf numFmtId="0" fontId="6" fillId="9" borderId="9" xfId="0" applyFont="1" applyFill="1" applyBorder="1" applyAlignment="1">
      <alignment horizontal="left" vertical="center" wrapText="1"/>
    </xf>
    <xf numFmtId="165" fontId="0" fillId="9" borderId="9" xfId="0" applyNumberFormat="1" applyFill="1" applyBorder="1" applyAlignment="1">
      <alignment horizontal="center" wrapText="1"/>
    </xf>
    <xf numFmtId="166" fontId="0" fillId="9" borderId="10" xfId="2" applyNumberFormat="1" applyFont="1" applyFill="1" applyBorder="1" applyAlignment="1">
      <alignment horizontal="center"/>
    </xf>
    <xf numFmtId="10" fontId="0" fillId="0" borderId="0" xfId="0" applyNumberFormat="1"/>
    <xf numFmtId="0" fontId="6" fillId="9" borderId="16" xfId="0" applyFont="1" applyFill="1" applyBorder="1" applyAlignment="1">
      <alignment horizontal="left" vertical="center" wrapText="1"/>
    </xf>
    <xf numFmtId="165" fontId="0" fillId="9" borderId="16" xfId="0" applyNumberFormat="1" applyFill="1" applyBorder="1" applyAlignment="1">
      <alignment horizontal="center" wrapText="1"/>
    </xf>
    <xf numFmtId="166" fontId="0" fillId="9" borderId="17" xfId="2" applyNumberFormat="1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left" vertical="center"/>
    </xf>
    <xf numFmtId="165" fontId="0" fillId="10" borderId="19" xfId="0" applyNumberFormat="1" applyFill="1" applyBorder="1" applyAlignment="1">
      <alignment horizontal="center" vertical="center"/>
    </xf>
    <xf numFmtId="166" fontId="0" fillId="10" borderId="20" xfId="2" applyNumberFormat="1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6" fillId="10" borderId="9" xfId="0" applyFont="1" applyFill="1" applyBorder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5" fontId="0" fillId="10" borderId="9" xfId="0" applyNumberFormat="1" applyFill="1" applyBorder="1" applyAlignment="1">
      <alignment horizontal="center" vertical="center"/>
    </xf>
    <xf numFmtId="166" fontId="0" fillId="10" borderId="10" xfId="2" applyNumberFormat="1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left" vertical="center"/>
    </xf>
    <xf numFmtId="165" fontId="0" fillId="10" borderId="24" xfId="0" applyNumberFormat="1" applyFill="1" applyBorder="1" applyAlignment="1">
      <alignment horizontal="center" vertical="center"/>
    </xf>
    <xf numFmtId="166" fontId="0" fillId="10" borderId="25" xfId="2" applyNumberFormat="1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9" fontId="0" fillId="0" borderId="0" xfId="0" applyNumberForma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263398</xdr:colOff>
      <xdr:row>0</xdr:row>
      <xdr:rowOff>25584</xdr:rowOff>
    </xdr:from>
    <xdr:to>
      <xdr:col>15</xdr:col>
      <xdr:colOff>1003427</xdr:colOff>
      <xdr:row>2</xdr:row>
      <xdr:rowOff>50617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97BFD4B-92F7-473B-A3FF-096B774FB144}"/>
            </a:ext>
          </a:extLst>
        </xdr:cNvPr>
        <xdr:cNvSpPr/>
      </xdr:nvSpPr>
      <xdr:spPr>
        <a:xfrm>
          <a:off x="923798" y="25584"/>
          <a:ext cx="12855829" cy="418733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North</a:t>
          </a:r>
          <a:r>
            <a:rPr lang="en-US" sz="2000" b="1" baseline="0"/>
            <a:t> America</a:t>
          </a:r>
          <a:r>
            <a:rPr lang="en-US" sz="2000" b="1"/>
            <a:t> AI Semiconductor Market (USD Million)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6B0C-2811-45E0-AF95-20AE955160B9}">
  <dimension ref="B5:AD30"/>
  <sheetViews>
    <sheetView tabSelected="1" workbookViewId="0">
      <selection activeCell="I14" sqref="I14"/>
    </sheetView>
  </sheetViews>
  <sheetFormatPr defaultRowHeight="15.5" x14ac:dyDescent="0.35"/>
  <cols>
    <col min="2" max="2" width="16.33203125" customWidth="1"/>
    <col min="3" max="3" width="26.25" customWidth="1"/>
    <col min="4" max="6" width="9.08203125" bestFit="1" customWidth="1"/>
    <col min="7" max="14" width="9.83203125" bestFit="1" customWidth="1"/>
    <col min="15" max="15" width="10.5" customWidth="1"/>
    <col min="16" max="16" width="21.33203125" customWidth="1"/>
    <col min="17" max="17" width="5.5" customWidth="1"/>
    <col min="18" max="18" width="18.75" customWidth="1"/>
  </cols>
  <sheetData>
    <row r="5" spans="2:30" ht="16" thickBot="1" x14ac:dyDescent="0.4"/>
    <row r="6" spans="2:30" ht="18.5" x14ac:dyDescent="0.45">
      <c r="B6" s="1" t="s">
        <v>0</v>
      </c>
      <c r="C6" s="2"/>
      <c r="D6" s="3">
        <v>2020</v>
      </c>
      <c r="E6" s="4">
        <f>D6+1</f>
        <v>2021</v>
      </c>
      <c r="F6" s="4">
        <f t="shared" ref="F6:O6" si="0">E6+1</f>
        <v>2022</v>
      </c>
      <c r="G6" s="4">
        <f t="shared" si="0"/>
        <v>2023</v>
      </c>
      <c r="H6" s="4">
        <f t="shared" si="0"/>
        <v>2024</v>
      </c>
      <c r="I6" s="4">
        <f t="shared" si="0"/>
        <v>2025</v>
      </c>
      <c r="J6" s="4">
        <f t="shared" si="0"/>
        <v>2026</v>
      </c>
      <c r="K6" s="4">
        <f t="shared" si="0"/>
        <v>2027</v>
      </c>
      <c r="L6" s="4">
        <f t="shared" si="0"/>
        <v>2028</v>
      </c>
      <c r="M6" s="4">
        <f t="shared" si="0"/>
        <v>2029</v>
      </c>
      <c r="N6" s="4">
        <f t="shared" si="0"/>
        <v>2030</v>
      </c>
      <c r="O6" s="4">
        <f t="shared" si="0"/>
        <v>2031</v>
      </c>
      <c r="P6" s="5" t="s">
        <v>1</v>
      </c>
      <c r="Q6" s="6"/>
    </row>
    <row r="7" spans="2:30" ht="16" thickBot="1" x14ac:dyDescent="0.4">
      <c r="B7" s="7"/>
      <c r="C7" s="8"/>
      <c r="D7" s="9">
        <v>4435</v>
      </c>
      <c r="E7" s="10">
        <v>6652</v>
      </c>
      <c r="F7" s="9">
        <v>8869</v>
      </c>
      <c r="G7" s="10">
        <v>11086</v>
      </c>
      <c r="H7" s="9">
        <v>13303</v>
      </c>
      <c r="I7" s="10">
        <v>15520</v>
      </c>
      <c r="J7" s="9">
        <v>17737</v>
      </c>
      <c r="K7" s="10">
        <v>19954</v>
      </c>
      <c r="L7" s="9">
        <v>22171</v>
      </c>
      <c r="M7" s="10">
        <v>24388</v>
      </c>
      <c r="N7" s="9">
        <v>26605</v>
      </c>
      <c r="O7" s="10">
        <v>28822</v>
      </c>
      <c r="P7" s="11">
        <f>RATE(4,,-K7,O7)</f>
        <v>9.6285163086294825E-2</v>
      </c>
      <c r="Q7" s="12"/>
    </row>
    <row r="8" spans="2:30" ht="16" thickBot="1" x14ac:dyDescent="0.4">
      <c r="B8" s="13"/>
      <c r="C8" s="14" t="s">
        <v>2</v>
      </c>
      <c r="D8" s="15"/>
      <c r="E8" s="16">
        <f>E7/D7-1</f>
        <v>0.49988726042841036</v>
      </c>
      <c r="F8" s="16">
        <f>F7/E7-1</f>
        <v>0.33328322309079983</v>
      </c>
      <c r="G8" s="16">
        <f>G7/F7-1</f>
        <v>0.2499718119291916</v>
      </c>
      <c r="H8" s="16">
        <f>H7/G7-1</f>
        <v>0.19998195922785489</v>
      </c>
      <c r="I8" s="16">
        <f t="shared" ref="I8:O8" si="1">I7/H7-1</f>
        <v>0.16665413816432384</v>
      </c>
      <c r="J8" s="16">
        <f t="shared" si="1"/>
        <v>0.14284793814432994</v>
      </c>
      <c r="K8" s="16">
        <f t="shared" si="1"/>
        <v>0.12499295258499177</v>
      </c>
      <c r="L8" s="16">
        <f t="shared" si="1"/>
        <v>0.11110554274832118</v>
      </c>
      <c r="M8" s="16">
        <f t="shared" si="1"/>
        <v>9.9995489603536214E-2</v>
      </c>
      <c r="N8" s="16">
        <f t="shared" si="1"/>
        <v>9.0905363293422914E-2</v>
      </c>
      <c r="O8" s="16">
        <f t="shared" si="1"/>
        <v>8.3330201090020761E-2</v>
      </c>
      <c r="P8" s="17"/>
    </row>
    <row r="9" spans="2:30" ht="18.5" x14ac:dyDescent="0.45">
      <c r="B9" s="13"/>
      <c r="C9" s="14" t="s">
        <v>3</v>
      </c>
      <c r="F9" s="18">
        <f>F8-E8</f>
        <v>-0.16660403733761053</v>
      </c>
      <c r="G9" s="18">
        <f t="shared" ref="G9:O9" si="2">G8-F8</f>
        <v>-8.3311411161608229E-2</v>
      </c>
      <c r="H9" s="18">
        <f t="shared" si="2"/>
        <v>-4.9989852701336712E-2</v>
      </c>
      <c r="I9" s="18">
        <f t="shared" si="2"/>
        <v>-3.3327821063531049E-2</v>
      </c>
      <c r="J9" s="18">
        <f t="shared" si="2"/>
        <v>-2.3806200019993895E-2</v>
      </c>
      <c r="K9" s="18">
        <f t="shared" si="2"/>
        <v>-1.7854985559338177E-2</v>
      </c>
      <c r="L9" s="18">
        <f t="shared" si="2"/>
        <v>-1.3887409836670583E-2</v>
      </c>
      <c r="M9" s="18">
        <f t="shared" si="2"/>
        <v>-1.111005314478497E-2</v>
      </c>
      <c r="N9" s="18">
        <f t="shared" si="2"/>
        <v>-9.0901263101133001E-3</v>
      </c>
      <c r="O9" s="18">
        <f t="shared" si="2"/>
        <v>-7.5751622034021526E-3</v>
      </c>
      <c r="P9" s="19"/>
      <c r="S9" s="3">
        <v>2020</v>
      </c>
      <c r="T9" s="4">
        <f>S9+1</f>
        <v>2021</v>
      </c>
      <c r="U9" s="4">
        <f t="shared" ref="U9:AD9" si="3">T9+1</f>
        <v>2022</v>
      </c>
      <c r="V9" s="4">
        <f t="shared" si="3"/>
        <v>2023</v>
      </c>
      <c r="W9" s="4">
        <f t="shared" si="3"/>
        <v>2024</v>
      </c>
      <c r="X9" s="4">
        <f t="shared" si="3"/>
        <v>2025</v>
      </c>
      <c r="Y9" s="4">
        <f t="shared" si="3"/>
        <v>2026</v>
      </c>
      <c r="Z9" s="4">
        <f t="shared" si="3"/>
        <v>2027</v>
      </c>
      <c r="AA9" s="4">
        <f t="shared" si="3"/>
        <v>2028</v>
      </c>
      <c r="AB9" s="4">
        <f t="shared" si="3"/>
        <v>2029</v>
      </c>
      <c r="AC9" s="4">
        <f t="shared" si="3"/>
        <v>2030</v>
      </c>
      <c r="AD9" s="4">
        <f t="shared" si="3"/>
        <v>2031</v>
      </c>
    </row>
    <row r="10" spans="2:30" x14ac:dyDescent="0.35">
      <c r="B10" s="20" t="s">
        <v>4</v>
      </c>
      <c r="C10" s="21" t="s">
        <v>5</v>
      </c>
      <c r="D10" s="22">
        <f>D7*S10</f>
        <v>1108.7499999999998</v>
      </c>
      <c r="E10" s="22">
        <f t="shared" ref="E10:O10" si="4">E7*T10</f>
        <v>1670.1030721651007</v>
      </c>
      <c r="F10" s="22">
        <f t="shared" si="4"/>
        <v>2236.2312642815023</v>
      </c>
      <c r="G10" s="22">
        <f t="shared" si="4"/>
        <v>2807.1651266762192</v>
      </c>
      <c r="H10" s="22">
        <f t="shared" si="4"/>
        <v>3382.9353835369634</v>
      </c>
      <c r="I10" s="22">
        <f t="shared" si="4"/>
        <v>3963.5729338400042</v>
      </c>
      <c r="J10" s="22">
        <f t="shared" si="4"/>
        <v>4549.1088522827804</v>
      </c>
      <c r="K10" s="22">
        <f t="shared" si="4"/>
        <v>5139.5743902212853</v>
      </c>
      <c r="L10" s="22">
        <f t="shared" si="4"/>
        <v>5735.0009766122612</v>
      </c>
      <c r="M10" s="22">
        <f t="shared" si="4"/>
        <v>6335.4202189602156</v>
      </c>
      <c r="N10" s="22">
        <f t="shared" si="4"/>
        <v>6940.8639042692921</v>
      </c>
      <c r="O10" s="22">
        <f t="shared" si="4"/>
        <v>7551.3640000000005</v>
      </c>
      <c r="P10" s="23">
        <f t="shared" ref="P10:P30" si="5">RATE(4,,-K10,O10)</f>
        <v>0.10096766015598221</v>
      </c>
      <c r="Q10" s="24"/>
      <c r="R10" s="25" t="s">
        <v>5</v>
      </c>
      <c r="S10" s="12">
        <v>0.24999999999999997</v>
      </c>
      <c r="T10" s="12">
        <v>0.25106781000678002</v>
      </c>
      <c r="U10" s="12">
        <v>0.25214018088640233</v>
      </c>
      <c r="V10" s="12">
        <v>0.25321713211944968</v>
      </c>
      <c r="W10" s="12">
        <v>0.25429868326971083</v>
      </c>
      <c r="X10" s="12">
        <v>0.25538485398453636</v>
      </c>
      <c r="Y10" s="12">
        <v>0.25647566399519539</v>
      </c>
      <c r="Z10" s="12">
        <v>0.2575711331172339</v>
      </c>
      <c r="AA10" s="12">
        <v>0.25867128125083494</v>
      </c>
      <c r="AB10" s="12">
        <v>0.25977612838117992</v>
      </c>
      <c r="AC10" s="12">
        <v>0.26088569457881194</v>
      </c>
      <c r="AD10" s="12">
        <v>0.26200000000000001</v>
      </c>
    </row>
    <row r="11" spans="2:30" x14ac:dyDescent="0.35">
      <c r="B11" s="20"/>
      <c r="C11" s="21" t="s">
        <v>6</v>
      </c>
      <c r="D11" s="22">
        <f>D7*S11</f>
        <v>709.59999999999991</v>
      </c>
      <c r="E11" s="22">
        <f t="shared" ref="E11:O11" si="6">E7*T11</f>
        <v>1071.9052943027059</v>
      </c>
      <c r="F11" s="22">
        <f t="shared" si="6"/>
        <v>1439.3387679999041</v>
      </c>
      <c r="G11" s="22">
        <f t="shared" si="6"/>
        <v>1811.9551146317958</v>
      </c>
      <c r="H11" s="22">
        <f t="shared" si="6"/>
        <v>2189.809546855</v>
      </c>
      <c r="I11" s="22">
        <f t="shared" si="6"/>
        <v>2572.9578010639002</v>
      </c>
      <c r="J11" s="22">
        <f t="shared" si="6"/>
        <v>2961.4561420514951</v>
      </c>
      <c r="K11" s="22">
        <f t="shared" si="6"/>
        <v>3355.3613677100861</v>
      </c>
      <c r="L11" s="22">
        <f t="shared" si="6"/>
        <v>3754.7308137721197</v>
      </c>
      <c r="M11" s="22">
        <f t="shared" si="6"/>
        <v>4159.6223585915359</v>
      </c>
      <c r="N11" s="22">
        <f t="shared" si="6"/>
        <v>4570.0944279659489</v>
      </c>
      <c r="O11" s="22">
        <f t="shared" si="6"/>
        <v>4986.2059999999983</v>
      </c>
      <c r="P11" s="23">
        <f t="shared" si="5"/>
        <v>0.1040982696723778</v>
      </c>
      <c r="Q11" s="24"/>
      <c r="R11" s="25" t="s">
        <v>6</v>
      </c>
      <c r="S11" s="12">
        <v>0.15999999999999998</v>
      </c>
      <c r="T11" s="12">
        <v>0.16114030281159139</v>
      </c>
      <c r="U11" s="12">
        <v>0.16228873243882108</v>
      </c>
      <c r="V11" s="12">
        <v>0.16344534680063105</v>
      </c>
      <c r="W11" s="12">
        <v>0.16461020422874539</v>
      </c>
      <c r="X11" s="12">
        <v>0.16578336347061212</v>
      </c>
      <c r="Y11" s="12">
        <v>0.16696488369236598</v>
      </c>
      <c r="Z11" s="12">
        <v>0.16815482448181249</v>
      </c>
      <c r="AA11" s="12">
        <v>0.16935324585143294</v>
      </c>
      <c r="AB11" s="12">
        <v>0.17056020824141119</v>
      </c>
      <c r="AC11" s="12">
        <v>0.17177577252268178</v>
      </c>
      <c r="AD11" s="12">
        <v>0.17299999999999993</v>
      </c>
    </row>
    <row r="12" spans="2:30" x14ac:dyDescent="0.35">
      <c r="B12" s="20"/>
      <c r="C12" s="25" t="s">
        <v>7</v>
      </c>
      <c r="D12" s="26">
        <f>D7*S12</f>
        <v>1374.85</v>
      </c>
      <c r="E12" s="26">
        <f t="shared" ref="E12:O12" si="7">E7*T12</f>
        <v>2047.0691372852534</v>
      </c>
      <c r="F12" s="26">
        <f t="shared" si="7"/>
        <v>2709.4023386262461</v>
      </c>
      <c r="G12" s="26">
        <f t="shared" si="7"/>
        <v>3361.9581035099432</v>
      </c>
      <c r="H12" s="26">
        <f t="shared" si="7"/>
        <v>4004.8438742444305</v>
      </c>
      <c r="I12" s="26">
        <f t="shared" si="7"/>
        <v>4638.166045611114</v>
      </c>
      <c r="J12" s="26">
        <f t="shared" si="7"/>
        <v>5262.0299744323402</v>
      </c>
      <c r="K12" s="26">
        <f t="shared" si="7"/>
        <v>5876.5399890551598</v>
      </c>
      <c r="L12" s="26">
        <f t="shared" si="7"/>
        <v>6481.7993987519494</v>
      </c>
      <c r="M12" s="26">
        <f t="shared" si="7"/>
        <v>7077.9105030385799</v>
      </c>
      <c r="N12" s="26">
        <f t="shared" si="7"/>
        <v>7664.9746009108703</v>
      </c>
      <c r="O12" s="26">
        <f t="shared" si="7"/>
        <v>8243.0919999999969</v>
      </c>
      <c r="P12" s="23">
        <f t="shared" si="5"/>
        <v>8.8283670696998787E-2</v>
      </c>
      <c r="Q12" s="24"/>
      <c r="R12" s="25" t="s">
        <v>7</v>
      </c>
      <c r="S12" s="27">
        <v>0.31</v>
      </c>
      <c r="T12" s="27">
        <v>0.30773739285707358</v>
      </c>
      <c r="U12" s="27">
        <v>0.30549129987893181</v>
      </c>
      <c r="V12" s="27">
        <v>0.3032616005330997</v>
      </c>
      <c r="W12" s="27">
        <v>0.30104817516683685</v>
      </c>
      <c r="X12" s="27">
        <v>0.29885090500071609</v>
      </c>
      <c r="Y12" s="27">
        <v>0.29666967212224954</v>
      </c>
      <c r="Z12" s="27">
        <v>0.294504359479561</v>
      </c>
      <c r="AA12" s="27">
        <v>0.29235485087510482</v>
      </c>
      <c r="AB12" s="27">
        <v>0.29022103095943003</v>
      </c>
      <c r="AC12" s="27">
        <v>0.28810278522499044</v>
      </c>
      <c r="AD12" s="27">
        <v>0.28599999999999992</v>
      </c>
    </row>
    <row r="13" spans="2:30" x14ac:dyDescent="0.35">
      <c r="B13" s="28"/>
      <c r="C13" s="29" t="s">
        <v>8</v>
      </c>
      <c r="D13" s="30">
        <f>D7*S13</f>
        <v>1241.8000000000002</v>
      </c>
      <c r="E13" s="30">
        <f t="shared" ref="E13:O13" si="8">E7*T13</f>
        <v>1862.9224962469398</v>
      </c>
      <c r="F13" s="30">
        <f t="shared" si="8"/>
        <v>2484.0276290923475</v>
      </c>
      <c r="G13" s="30">
        <f t="shared" si="8"/>
        <v>3104.9216551820409</v>
      </c>
      <c r="H13" s="30">
        <f t="shared" si="8"/>
        <v>3725.4111953636052</v>
      </c>
      <c r="I13" s="30">
        <f t="shared" si="8"/>
        <v>4345.3032194849829</v>
      </c>
      <c r="J13" s="30">
        <f t="shared" si="8"/>
        <v>4964.4050312333857</v>
      </c>
      <c r="K13" s="30">
        <f t="shared" si="8"/>
        <v>5582.5242530134674</v>
      </c>
      <c r="L13" s="30">
        <f t="shared" si="8"/>
        <v>6199.4688108636692</v>
      </c>
      <c r="M13" s="30">
        <f t="shared" si="8"/>
        <v>6815.0469194096677</v>
      </c>
      <c r="N13" s="30">
        <f t="shared" si="8"/>
        <v>7429.0670668538905</v>
      </c>
      <c r="O13" s="30">
        <f t="shared" si="8"/>
        <v>8041.3380000000043</v>
      </c>
      <c r="P13" s="31">
        <f t="shared" si="5"/>
        <v>9.5530378046634765E-2</v>
      </c>
      <c r="Q13" s="24"/>
      <c r="R13" s="25" t="s">
        <v>8</v>
      </c>
      <c r="S13" s="12">
        <f>1-SUM(S10:S12)</f>
        <v>0.28000000000000003</v>
      </c>
      <c r="T13" s="12">
        <f t="shared" ref="T13:AD13" si="9">1-SUM(T10:T12)</f>
        <v>0.28005449432455498</v>
      </c>
      <c r="U13" s="12">
        <f t="shared" si="9"/>
        <v>0.28007978679584478</v>
      </c>
      <c r="V13" s="12">
        <f t="shared" si="9"/>
        <v>0.28007592054681951</v>
      </c>
      <c r="W13" s="12">
        <f t="shared" si="9"/>
        <v>0.28004293733470687</v>
      </c>
      <c r="X13" s="12">
        <f t="shared" si="9"/>
        <v>0.27998087754413548</v>
      </c>
      <c r="Y13" s="12">
        <f t="shared" si="9"/>
        <v>0.27988978019018917</v>
      </c>
      <c r="Z13" s="12">
        <f t="shared" si="9"/>
        <v>0.27976968292139259</v>
      </c>
      <c r="AA13" s="12">
        <f t="shared" si="9"/>
        <v>0.27962062202262727</v>
      </c>
      <c r="AB13" s="12">
        <f t="shared" si="9"/>
        <v>0.27944263241797884</v>
      </c>
      <c r="AC13" s="12">
        <f t="shared" si="9"/>
        <v>0.27923574767351589</v>
      </c>
      <c r="AD13" s="12">
        <f t="shared" si="9"/>
        <v>0.27900000000000014</v>
      </c>
    </row>
    <row r="14" spans="2:30" x14ac:dyDescent="0.35">
      <c r="B14" s="13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19"/>
    </row>
    <row r="15" spans="2:30" x14ac:dyDescent="0.35">
      <c r="B15" s="33" t="s">
        <v>9</v>
      </c>
      <c r="C15" s="34" t="s">
        <v>10</v>
      </c>
      <c r="D15" s="35">
        <f>D7*S15</f>
        <v>753.95000000000027</v>
      </c>
      <c r="E15" s="35">
        <f t="shared" ref="E15:O15" si="10">E7*T15</f>
        <v>1140.1249159779491</v>
      </c>
      <c r="F15" s="35">
        <f t="shared" si="10"/>
        <v>1532.5904883400854</v>
      </c>
      <c r="G15" s="35">
        <f t="shared" si="10"/>
        <v>1931.4239838622775</v>
      </c>
      <c r="H15" s="35">
        <f t="shared" si="10"/>
        <v>2336.7035140574258</v>
      </c>
      <c r="I15" s="35">
        <f t="shared" si="10"/>
        <v>2748.5080438382133</v>
      </c>
      <c r="J15" s="35">
        <f t="shared" si="10"/>
        <v>3166.9174002651648</v>
      </c>
      <c r="K15" s="35">
        <f t="shared" si="10"/>
        <v>3592.0122813808266</v>
      </c>
      <c r="L15" s="35">
        <f t="shared" si="10"/>
        <v>4023.8742651308949</v>
      </c>
      <c r="M15" s="35">
        <f t="shared" si="10"/>
        <v>4462.5858183731243</v>
      </c>
      <c r="N15" s="35">
        <f t="shared" si="10"/>
        <v>4908.2303059748556</v>
      </c>
      <c r="O15" s="35">
        <f t="shared" si="10"/>
        <v>5360.8920000000035</v>
      </c>
      <c r="P15" s="36">
        <f t="shared" si="5"/>
        <v>0.10528636186519195</v>
      </c>
      <c r="Q15" s="24"/>
      <c r="R15" s="37" t="s">
        <v>10</v>
      </c>
      <c r="S15" s="38">
        <v>0.17000000000000007</v>
      </c>
      <c r="T15" s="38">
        <v>0.17139580817467664</v>
      </c>
      <c r="U15" s="38">
        <v>0.17280307682265028</v>
      </c>
      <c r="V15" s="38">
        <v>0.17422190004169921</v>
      </c>
      <c r="W15" s="38">
        <v>0.17565237270220443</v>
      </c>
      <c r="X15" s="38">
        <v>0.17709459045349313</v>
      </c>
      <c r="Y15" s="38">
        <v>0.17854864973023424</v>
      </c>
      <c r="Z15" s="38">
        <v>0.18001464775888676</v>
      </c>
      <c r="AA15" s="38">
        <v>0.18149268256420076</v>
      </c>
      <c r="AB15" s="38">
        <v>0.18298285297577188</v>
      </c>
      <c r="AC15" s="38">
        <v>0.18448525863464971</v>
      </c>
      <c r="AD15" s="38">
        <v>0.18600000000000011</v>
      </c>
    </row>
    <row r="16" spans="2:30" x14ac:dyDescent="0.35">
      <c r="B16" s="39"/>
      <c r="C16" s="40" t="s">
        <v>11</v>
      </c>
      <c r="D16" s="41">
        <f>D7*S16</f>
        <v>1241.8000000000004</v>
      </c>
      <c r="E16" s="41">
        <f t="shared" ref="E16:O16" si="11">E7*T16</f>
        <v>1859.5115385680417</v>
      </c>
      <c r="F16" s="41">
        <f t="shared" si="11"/>
        <v>2475.1977273594948</v>
      </c>
      <c r="G16" s="41">
        <f t="shared" si="11"/>
        <v>3088.8635414470723</v>
      </c>
      <c r="H16" s="41">
        <f t="shared" si="11"/>
        <v>3700.5139450435477</v>
      </c>
      <c r="I16" s="41">
        <f t="shared" si="11"/>
        <v>4310.1538915239753</v>
      </c>
      <c r="J16" s="41">
        <f t="shared" si="11"/>
        <v>4917.7883234478741</v>
      </c>
      <c r="K16" s="41">
        <f t="shared" si="11"/>
        <v>5523.4221725813513</v>
      </c>
      <c r="L16" s="41">
        <f t="shared" si="11"/>
        <v>6127.0603599192082</v>
      </c>
      <c r="M16" s="41">
        <f t="shared" si="11"/>
        <v>6728.7077957069732</v>
      </c>
      <c r="N16" s="41">
        <f t="shared" si="11"/>
        <v>7328.3693794629162</v>
      </c>
      <c r="O16" s="41">
        <f t="shared" si="11"/>
        <v>7926.0500000000056</v>
      </c>
      <c r="P16" s="42">
        <f t="shared" si="5"/>
        <v>9.4490867580057772E-2</v>
      </c>
      <c r="Q16" s="24"/>
      <c r="R16" s="37" t="s">
        <v>11</v>
      </c>
      <c r="S16" s="38">
        <v>0.28000000000000008</v>
      </c>
      <c r="T16" s="38">
        <v>0.27954172257487098</v>
      </c>
      <c r="U16" s="38">
        <v>0.27908419521473615</v>
      </c>
      <c r="V16" s="38">
        <v>0.27862741669196034</v>
      </c>
      <c r="W16" s="38">
        <v>0.27817138578091766</v>
      </c>
      <c r="X16" s="38">
        <v>0.27771610125798812</v>
      </c>
      <c r="Y16" s="38">
        <v>0.2772615619015546</v>
      </c>
      <c r="Z16" s="38">
        <v>0.27680776649199917</v>
      </c>
      <c r="AA16" s="38">
        <v>0.27635471381170035</v>
      </c>
      <c r="AB16" s="38">
        <v>0.27590240264502924</v>
      </c>
      <c r="AC16" s="38">
        <v>0.27545083177834678</v>
      </c>
      <c r="AD16" s="38">
        <v>0.27500000000000019</v>
      </c>
    </row>
    <row r="17" spans="2:30" x14ac:dyDescent="0.35">
      <c r="B17" s="43"/>
      <c r="C17" s="44" t="s">
        <v>12</v>
      </c>
      <c r="D17" s="45">
        <f>D7*S17</f>
        <v>2439.2499999999991</v>
      </c>
      <c r="E17" s="45">
        <f t="shared" ref="E17:O17" si="12">E7*T17</f>
        <v>3652.3635454540095</v>
      </c>
      <c r="F17" s="45">
        <f t="shared" si="12"/>
        <v>4861.2117843004198</v>
      </c>
      <c r="G17" s="45">
        <f t="shared" si="12"/>
        <v>6065.7124746906502</v>
      </c>
      <c r="H17" s="45">
        <f t="shared" si="12"/>
        <v>7265.7825408990275</v>
      </c>
      <c r="I17" s="45">
        <f t="shared" si="12"/>
        <v>8461.3380646378118</v>
      </c>
      <c r="J17" s="45">
        <f t="shared" si="12"/>
        <v>9652.2942762869625</v>
      </c>
      <c r="K17" s="45">
        <f t="shared" si="12"/>
        <v>10838.565546037824</v>
      </c>
      <c r="L17" s="45">
        <f t="shared" si="12"/>
        <v>12020.065374949896</v>
      </c>
      <c r="M17" s="45">
        <f t="shared" si="12"/>
        <v>13196.706385919901</v>
      </c>
      <c r="N17" s="45">
        <f t="shared" si="12"/>
        <v>14368.400314562226</v>
      </c>
      <c r="O17" s="45">
        <f t="shared" si="12"/>
        <v>15535.057999999992</v>
      </c>
      <c r="P17" s="46">
        <f t="shared" si="5"/>
        <v>9.4171170452591407E-2</v>
      </c>
      <c r="Q17" s="24"/>
      <c r="R17" s="37" t="s">
        <v>12</v>
      </c>
      <c r="S17" s="38">
        <f>1-SUM(S15:S16)</f>
        <v>0.54999999999999982</v>
      </c>
      <c r="T17" s="38">
        <f t="shared" ref="T17:AD17" si="13">1-SUM(T15:T16)</f>
        <v>0.54906246925045243</v>
      </c>
      <c r="U17" s="38">
        <f t="shared" si="13"/>
        <v>0.54811272796261357</v>
      </c>
      <c r="V17" s="38">
        <f t="shared" si="13"/>
        <v>0.54715068326634042</v>
      </c>
      <c r="W17" s="38">
        <f t="shared" si="13"/>
        <v>0.54617624151687794</v>
      </c>
      <c r="X17" s="38">
        <f t="shared" si="13"/>
        <v>0.54518930828851875</v>
      </c>
      <c r="Y17" s="38">
        <f t="shared" si="13"/>
        <v>0.54418978836821119</v>
      </c>
      <c r="Z17" s="38">
        <f t="shared" si="13"/>
        <v>0.54317758574911412</v>
      </c>
      <c r="AA17" s="38">
        <f t="shared" si="13"/>
        <v>0.54215260362409889</v>
      </c>
      <c r="AB17" s="38">
        <f t="shared" si="13"/>
        <v>0.54111474437919882</v>
      </c>
      <c r="AC17" s="38">
        <f t="shared" si="13"/>
        <v>0.54006390958700345</v>
      </c>
      <c r="AD17" s="38">
        <f t="shared" si="13"/>
        <v>0.5389999999999997</v>
      </c>
    </row>
    <row r="18" spans="2:30" x14ac:dyDescent="0.35">
      <c r="B18" s="13"/>
      <c r="C18" s="47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19"/>
      <c r="Q18" s="48"/>
      <c r="R18" s="49"/>
    </row>
    <row r="19" spans="2:30" x14ac:dyDescent="0.35">
      <c r="B19" s="50" t="s">
        <v>13</v>
      </c>
      <c r="C19" s="51" t="s">
        <v>14</v>
      </c>
      <c r="D19" s="52">
        <f>D7*S19</f>
        <v>665.25</v>
      </c>
      <c r="E19" s="52">
        <f t="shared" ref="E19:O19" si="14">E7*T19</f>
        <v>1010.8244965242282</v>
      </c>
      <c r="F19" s="52">
        <f t="shared" si="14"/>
        <v>1365.3073589373789</v>
      </c>
      <c r="G19" s="52">
        <f t="shared" si="14"/>
        <v>1728.8722716556404</v>
      </c>
      <c r="H19" s="52">
        <f t="shared" si="14"/>
        <v>2101.6959355105041</v>
      </c>
      <c r="I19" s="52">
        <f t="shared" si="14"/>
        <v>2483.9581169031339</v>
      </c>
      <c r="J19" s="52">
        <f t="shared" si="14"/>
        <v>2875.8416977280176</v>
      </c>
      <c r="K19" s="52">
        <f t="shared" si="14"/>
        <v>3277.5327260776198</v>
      </c>
      <c r="L19" s="52">
        <f t="shared" si="14"/>
        <v>3689.22046773992</v>
      </c>
      <c r="M19" s="52">
        <f t="shared" si="14"/>
        <v>4111.0974585008735</v>
      </c>
      <c r="N19" s="52">
        <f t="shared" si="14"/>
        <v>4543.3595572640752</v>
      </c>
      <c r="O19" s="52">
        <f t="shared" si="14"/>
        <v>4986.2059999999992</v>
      </c>
      <c r="P19" s="53">
        <f t="shared" si="5"/>
        <v>0.11059520748014402</v>
      </c>
      <c r="Q19" s="24"/>
      <c r="R19" s="54" t="s">
        <v>14</v>
      </c>
      <c r="S19" s="38">
        <v>0.15</v>
      </c>
      <c r="T19" s="38">
        <v>0.15195798203912028</v>
      </c>
      <c r="U19" s="38">
        <v>0.15394152203601069</v>
      </c>
      <c r="V19" s="38">
        <v>0.15595095360415301</v>
      </c>
      <c r="W19" s="38">
        <v>0.15798661471175707</v>
      </c>
      <c r="X19" s="38">
        <v>0.16004884773860401</v>
      </c>
      <c r="Y19" s="38">
        <v>0.16213799953363126</v>
      </c>
      <c r="Z19" s="38">
        <v>0.16425442147326952</v>
      </c>
      <c r="AA19" s="38">
        <v>0.16639846952054124</v>
      </c>
      <c r="AB19" s="38">
        <v>0.16857050428493003</v>
      </c>
      <c r="AC19" s="38">
        <v>0.17077089108303234</v>
      </c>
      <c r="AD19" s="38">
        <v>0.17299999999999996</v>
      </c>
    </row>
    <row r="20" spans="2:30" x14ac:dyDescent="0.35">
      <c r="B20" s="50"/>
      <c r="C20" s="55" t="s">
        <v>15</v>
      </c>
      <c r="D20" s="56">
        <f>D7*S20</f>
        <v>1197.45</v>
      </c>
      <c r="E20" s="56">
        <f t="shared" ref="E20:O20" si="15">E7*T20</f>
        <v>1792.3744594165755</v>
      </c>
      <c r="F20" s="56">
        <f t="shared" si="15"/>
        <v>2384.865566774215</v>
      </c>
      <c r="G20" s="56">
        <f t="shared" si="15"/>
        <v>2974.9307765101375</v>
      </c>
      <c r="H20" s="56">
        <f t="shared" si="15"/>
        <v>3562.5775227696058</v>
      </c>
      <c r="I20" s="56">
        <f t="shared" si="15"/>
        <v>4147.8132194577101</v>
      </c>
      <c r="J20" s="56">
        <f t="shared" si="15"/>
        <v>4730.6452602910113</v>
      </c>
      <c r="K20" s="56">
        <f t="shared" si="15"/>
        <v>5311.0810188490768</v>
      </c>
      <c r="L20" s="56">
        <f t="shared" si="15"/>
        <v>5889.1278486258643</v>
      </c>
      <c r="M20" s="56">
        <f t="shared" si="15"/>
        <v>6464.7930830810074</v>
      </c>
      <c r="N20" s="56">
        <f t="shared" si="15"/>
        <v>7038.0840356909584</v>
      </c>
      <c r="O20" s="56">
        <f t="shared" si="15"/>
        <v>7609.0080000000071</v>
      </c>
      <c r="P20" s="57">
        <f t="shared" si="5"/>
        <v>9.4047753142029136E-2</v>
      </c>
      <c r="Q20" s="24"/>
      <c r="R20" s="54" t="s">
        <v>15</v>
      </c>
      <c r="S20" s="38">
        <v>0.27</v>
      </c>
      <c r="T20" s="38">
        <v>0.26944895661704382</v>
      </c>
      <c r="U20" s="38">
        <v>0.26889903785930941</v>
      </c>
      <c r="V20" s="38">
        <v>0.26835024143154768</v>
      </c>
      <c r="W20" s="38">
        <v>0.26780256504319372</v>
      </c>
      <c r="X20" s="38">
        <v>0.26725600640835762</v>
      </c>
      <c r="Y20" s="38">
        <v>0.26671056324581449</v>
      </c>
      <c r="Z20" s="38">
        <v>0.26616623327899552</v>
      </c>
      <c r="AA20" s="38">
        <v>0.26562301423597784</v>
      </c>
      <c r="AB20" s="38">
        <v>0.26508090384947547</v>
      </c>
      <c r="AC20" s="38">
        <v>0.26453989985682985</v>
      </c>
      <c r="AD20" s="38">
        <v>0.26400000000000023</v>
      </c>
    </row>
    <row r="21" spans="2:30" x14ac:dyDescent="0.35">
      <c r="B21" s="50"/>
      <c r="C21" s="58" t="s">
        <v>16</v>
      </c>
      <c r="D21" s="59">
        <f>D7*S21</f>
        <v>2572.2999999999997</v>
      </c>
      <c r="E21" s="59">
        <f t="shared" ref="E21:O21" si="16">E7*T21</f>
        <v>3848.8010440591966</v>
      </c>
      <c r="F21" s="59">
        <f t="shared" si="16"/>
        <v>5118.827074288406</v>
      </c>
      <c r="G21" s="59">
        <f t="shared" si="16"/>
        <v>6382.1969518342212</v>
      </c>
      <c r="H21" s="59">
        <f t="shared" si="16"/>
        <v>7638.7265417198896</v>
      </c>
      <c r="I21" s="59">
        <f t="shared" si="16"/>
        <v>8888.2286636391564</v>
      </c>
      <c r="J21" s="59">
        <f t="shared" si="16"/>
        <v>10130.513041980972</v>
      </c>
      <c r="K21" s="59">
        <f t="shared" si="16"/>
        <v>11365.386255073303</v>
      </c>
      <c r="L21" s="59">
        <f t="shared" si="16"/>
        <v>12592.651683634216</v>
      </c>
      <c r="M21" s="59">
        <f t="shared" si="16"/>
        <v>13812.109458418119</v>
      </c>
      <c r="N21" s="59">
        <f t="shared" si="16"/>
        <v>15023.556407044967</v>
      </c>
      <c r="O21" s="59">
        <f t="shared" si="16"/>
        <v>16226.785999999995</v>
      </c>
      <c r="P21" s="60">
        <f t="shared" si="5"/>
        <v>9.3105494264535738E-2</v>
      </c>
      <c r="Q21" s="24"/>
      <c r="R21" s="54" t="s">
        <v>16</v>
      </c>
      <c r="S21" s="38">
        <f>1-SUM(S19:S20)</f>
        <v>0.57999999999999996</v>
      </c>
      <c r="T21" s="38">
        <f t="shared" ref="T21:AD21" si="17">1-SUM(T19:T20)</f>
        <v>0.57859306134383592</v>
      </c>
      <c r="U21" s="38">
        <f t="shared" si="17"/>
        <v>0.5771594401046799</v>
      </c>
      <c r="V21" s="38">
        <f t="shared" si="17"/>
        <v>0.57569880496429926</v>
      </c>
      <c r="W21" s="38">
        <f t="shared" si="17"/>
        <v>0.57421082024504921</v>
      </c>
      <c r="X21" s="38">
        <f t="shared" si="17"/>
        <v>0.57269514585303838</v>
      </c>
      <c r="Y21" s="38">
        <f t="shared" si="17"/>
        <v>0.57115143722055428</v>
      </c>
      <c r="Z21" s="38">
        <f t="shared" si="17"/>
        <v>0.5695793452477349</v>
      </c>
      <c r="AA21" s="38">
        <f t="shared" si="17"/>
        <v>0.56797851624348095</v>
      </c>
      <c r="AB21" s="38">
        <f t="shared" si="17"/>
        <v>0.5663485918655945</v>
      </c>
      <c r="AC21" s="38">
        <f t="shared" si="17"/>
        <v>0.56468920906013786</v>
      </c>
      <c r="AD21" s="38">
        <f t="shared" si="17"/>
        <v>0.56299999999999983</v>
      </c>
    </row>
    <row r="22" spans="2:30" x14ac:dyDescent="0.35">
      <c r="B22" s="13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19"/>
    </row>
    <row r="23" spans="2:30" x14ac:dyDescent="0.35">
      <c r="B23" s="61" t="s">
        <v>16</v>
      </c>
      <c r="C23" s="62" t="s">
        <v>17</v>
      </c>
      <c r="D23" s="63">
        <f>D7*S23</f>
        <v>620.90000000000009</v>
      </c>
      <c r="E23" s="63">
        <f t="shared" ref="E23:O23" si="18">E7*T23</f>
        <v>934.83955079077475</v>
      </c>
      <c r="F23" s="63">
        <f t="shared" si="18"/>
        <v>1251.1699185034995</v>
      </c>
      <c r="G23" s="63">
        <f t="shared" si="18"/>
        <v>1569.9047931209848</v>
      </c>
      <c r="H23" s="63">
        <f t="shared" si="18"/>
        <v>1891.057934349913</v>
      </c>
      <c r="I23" s="63">
        <f t="shared" si="18"/>
        <v>2214.6431719538373</v>
      </c>
      <c r="J23" s="63">
        <f t="shared" si="18"/>
        <v>2540.674406087704</v>
      </c>
      <c r="K23" s="63">
        <f t="shared" si="18"/>
        <v>2869.1656076339141</v>
      </c>
      <c r="L23" s="63">
        <f t="shared" si="18"/>
        <v>3200.1308185399207</v>
      </c>
      <c r="M23" s="63">
        <f t="shared" si="18"/>
        <v>3533.5841521573761</v>
      </c>
      <c r="N23" s="63">
        <f t="shared" si="18"/>
        <v>3869.5397935828323</v>
      </c>
      <c r="O23" s="63">
        <f t="shared" si="18"/>
        <v>4208.0120000000024</v>
      </c>
      <c r="P23" s="64">
        <f t="shared" si="5"/>
        <v>0.10047539880399081</v>
      </c>
      <c r="Q23" s="24"/>
      <c r="R23" s="65" t="s">
        <v>17</v>
      </c>
      <c r="S23" s="38">
        <v>0.14000000000000001</v>
      </c>
      <c r="T23" s="38">
        <v>0.1405351098603089</v>
      </c>
      <c r="U23" s="38">
        <v>0.14107226502463632</v>
      </c>
      <c r="V23" s="38">
        <v>0.14161147331057053</v>
      </c>
      <c r="W23" s="38">
        <v>0.14215274256558016</v>
      </c>
      <c r="X23" s="38">
        <v>0.14269608066712869</v>
      </c>
      <c r="Y23" s="38">
        <v>0.14324149552278875</v>
      </c>
      <c r="Z23" s="38">
        <v>0.14378899507035753</v>
      </c>
      <c r="AA23" s="38">
        <v>0.14433858727797216</v>
      </c>
      <c r="AB23" s="38">
        <v>0.1448902801442257</v>
      </c>
      <c r="AC23" s="38">
        <v>0.14544408169828349</v>
      </c>
      <c r="AD23" s="38">
        <v>0.14600000000000007</v>
      </c>
    </row>
    <row r="24" spans="2:30" x14ac:dyDescent="0.35">
      <c r="B24" s="61"/>
      <c r="C24" s="66" t="s">
        <v>18</v>
      </c>
      <c r="D24" s="67">
        <f>D7*S24</f>
        <v>887</v>
      </c>
      <c r="E24" s="67">
        <f t="shared" ref="E24:O24" si="19">E7*T24</f>
        <v>1326.7211929992491</v>
      </c>
      <c r="F24" s="67">
        <f t="shared" si="19"/>
        <v>1764.00377964063</v>
      </c>
      <c r="G24" s="67">
        <f t="shared" si="19"/>
        <v>2198.8578841112208</v>
      </c>
      <c r="H24" s="67">
        <f t="shared" si="19"/>
        <v>2631.2935932537634</v>
      </c>
      <c r="I24" s="67">
        <f t="shared" si="19"/>
        <v>3061.3209566957785</v>
      </c>
      <c r="J24" s="67">
        <f t="shared" si="19"/>
        <v>3488.9499869782562</v>
      </c>
      <c r="K24" s="67">
        <f t="shared" si="19"/>
        <v>3914.1906596839117</v>
      </c>
      <c r="L24" s="67">
        <f t="shared" si="19"/>
        <v>4337.0529135650258</v>
      </c>
      <c r="M24" s="67">
        <f t="shared" si="19"/>
        <v>4757.546650670849</v>
      </c>
      <c r="N24" s="67">
        <f t="shared" si="19"/>
        <v>5175.6817364745948</v>
      </c>
      <c r="O24" s="67">
        <f t="shared" si="19"/>
        <v>5591.4679999999989</v>
      </c>
      <c r="P24" s="68">
        <f t="shared" si="5"/>
        <v>9.3253727779032999E-2</v>
      </c>
      <c r="Q24" s="24"/>
      <c r="R24" s="65" t="s">
        <v>18</v>
      </c>
      <c r="S24" s="38">
        <v>0.2</v>
      </c>
      <c r="T24" s="38">
        <v>0.19944696226687447</v>
      </c>
      <c r="U24" s="38">
        <v>0.19889545378742024</v>
      </c>
      <c r="V24" s="38">
        <v>0.19834547033296238</v>
      </c>
      <c r="W24" s="38">
        <v>0.19779700768651909</v>
      </c>
      <c r="X24" s="38">
        <v>0.19725006164276923</v>
      </c>
      <c r="Y24" s="38">
        <v>0.1967046280080203</v>
      </c>
      <c r="Z24" s="38">
        <v>0.19616070260017598</v>
      </c>
      <c r="AA24" s="38">
        <v>0.19561828124870442</v>
      </c>
      <c r="AB24" s="38">
        <v>0.19507735979460591</v>
      </c>
      <c r="AC24" s="38">
        <v>0.19453793409038131</v>
      </c>
      <c r="AD24" s="38">
        <v>0.19399999999999995</v>
      </c>
    </row>
    <row r="25" spans="2:30" x14ac:dyDescent="0.35">
      <c r="B25" s="61"/>
      <c r="C25" s="66" t="s">
        <v>19</v>
      </c>
      <c r="D25" s="67">
        <f>D7*S25</f>
        <v>736.20999999999992</v>
      </c>
      <c r="E25" s="67">
        <f t="shared" ref="E25:O25" si="20">E7*T25</f>
        <v>1098.0124995722078</v>
      </c>
      <c r="F25" s="67">
        <f t="shared" si="20"/>
        <v>1455.71599489185</v>
      </c>
      <c r="G25" s="67">
        <f t="shared" si="20"/>
        <v>1809.3551827149599</v>
      </c>
      <c r="H25" s="67">
        <f t="shared" si="20"/>
        <v>2158.9644989815688</v>
      </c>
      <c r="I25" s="67">
        <f t="shared" si="20"/>
        <v>2504.5781206530328</v>
      </c>
      <c r="J25" s="67">
        <f t="shared" si="20"/>
        <v>2846.229967536935</v>
      </c>
      <c r="K25" s="67">
        <f t="shared" si="20"/>
        <v>3183.9537040996443</v>
      </c>
      <c r="L25" s="67">
        <f t="shared" si="20"/>
        <v>3517.7827412666215</v>
      </c>
      <c r="M25" s="67">
        <f t="shared" si="20"/>
        <v>3847.7502382105336</v>
      </c>
      <c r="N25" s="67">
        <f t="shared" si="20"/>
        <v>4173.8891041272818</v>
      </c>
      <c r="O25" s="67">
        <f t="shared" si="20"/>
        <v>4496.232</v>
      </c>
      <c r="P25" s="68">
        <f t="shared" si="5"/>
        <v>9.0110422596256831E-2</v>
      </c>
      <c r="Q25" s="24"/>
      <c r="R25" s="65" t="s">
        <v>19</v>
      </c>
      <c r="S25" s="69">
        <v>0.16599999999999998</v>
      </c>
      <c r="T25" s="69">
        <v>0.16506501797537701</v>
      </c>
      <c r="U25" s="69">
        <v>0.16413530216392491</v>
      </c>
      <c r="V25" s="69">
        <v>0.16321082290410968</v>
      </c>
      <c r="W25" s="69">
        <v>0.16229155070146351</v>
      </c>
      <c r="X25" s="69">
        <v>0.16137745622764388</v>
      </c>
      <c r="Y25" s="69">
        <v>0.16046851031949794</v>
      </c>
      <c r="Z25" s="69">
        <v>0.15956468397813192</v>
      </c>
      <c r="AA25" s="69">
        <v>0.15866594836798617</v>
      </c>
      <c r="AB25" s="69">
        <v>0.15777227481591494</v>
      </c>
      <c r="AC25" s="69">
        <v>0.15688363481027182</v>
      </c>
      <c r="AD25" s="69">
        <v>0.156</v>
      </c>
    </row>
    <row r="26" spans="2:30" x14ac:dyDescent="0.35">
      <c r="B26" s="61"/>
      <c r="C26" s="70" t="s">
        <v>20</v>
      </c>
      <c r="D26" s="71">
        <f>D7*S26</f>
        <v>2190.89</v>
      </c>
      <c r="E26" s="71">
        <f t="shared" ref="E26:O26" si="21">E7*T26</f>
        <v>3292.4267566377689</v>
      </c>
      <c r="F26" s="71">
        <f t="shared" si="21"/>
        <v>4398.1103069640203</v>
      </c>
      <c r="G26" s="71">
        <f t="shared" si="21"/>
        <v>5507.8821400528341</v>
      </c>
      <c r="H26" s="71">
        <f t="shared" si="21"/>
        <v>6621.6839734147543</v>
      </c>
      <c r="I26" s="71">
        <f t="shared" si="21"/>
        <v>7739.457750697351</v>
      </c>
      <c r="J26" s="71">
        <f t="shared" si="21"/>
        <v>8861.1456393971039</v>
      </c>
      <c r="K26" s="71">
        <f t="shared" si="21"/>
        <v>9986.6900285825286</v>
      </c>
      <c r="L26" s="71">
        <f t="shared" si="21"/>
        <v>11116.033526628431</v>
      </c>
      <c r="M26" s="71">
        <f t="shared" si="21"/>
        <v>12249.11895896124</v>
      </c>
      <c r="N26" s="71">
        <f t="shared" si="21"/>
        <v>13385.889365815292</v>
      </c>
      <c r="O26" s="71">
        <f t="shared" si="21"/>
        <v>14526.288</v>
      </c>
      <c r="P26" s="72">
        <f t="shared" si="5"/>
        <v>9.820462913331017E-2</v>
      </c>
      <c r="Q26" s="24"/>
      <c r="R26" s="65" t="s">
        <v>20</v>
      </c>
      <c r="S26" s="38">
        <f>1-SUM(S23:S25)</f>
        <v>0.49399999999999999</v>
      </c>
      <c r="T26" s="38">
        <f t="shared" ref="T26:AD26" si="22">1-SUM(T23:T25)</f>
        <v>0.49495290989743967</v>
      </c>
      <c r="U26" s="38">
        <f t="shared" si="22"/>
        <v>0.49589697902401852</v>
      </c>
      <c r="V26" s="38">
        <f t="shared" si="22"/>
        <v>0.49683223345235739</v>
      </c>
      <c r="W26" s="38">
        <f t="shared" si="22"/>
        <v>0.49775869904643721</v>
      </c>
      <c r="X26" s="38">
        <f t="shared" si="22"/>
        <v>0.49867640146245817</v>
      </c>
      <c r="Y26" s="38">
        <f t="shared" si="22"/>
        <v>0.49958536614969296</v>
      </c>
      <c r="Z26" s="38">
        <f t="shared" si="22"/>
        <v>0.50048561835133454</v>
      </c>
      <c r="AA26" s="38">
        <f t="shared" si="22"/>
        <v>0.50137718310533719</v>
      </c>
      <c r="AB26" s="38">
        <f t="shared" si="22"/>
        <v>0.50226008524525345</v>
      </c>
      <c r="AC26" s="38">
        <f t="shared" si="22"/>
        <v>0.50313434940106339</v>
      </c>
      <c r="AD26" s="38">
        <f t="shared" si="22"/>
        <v>0.504</v>
      </c>
    </row>
    <row r="27" spans="2:30" x14ac:dyDescent="0.35">
      <c r="B27" s="13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19"/>
    </row>
    <row r="28" spans="2:30" s="80" customFormat="1" x14ac:dyDescent="0.35">
      <c r="B28" s="73" t="s">
        <v>21</v>
      </c>
      <c r="C28" s="74" t="s">
        <v>22</v>
      </c>
      <c r="D28" s="75">
        <f>D7*S28</f>
        <v>709.5999999999998</v>
      </c>
      <c r="E28" s="75">
        <f t="shared" ref="E28:O28" si="23">E7*T28</f>
        <v>1077.3952366396616</v>
      </c>
      <c r="F28" s="75">
        <f t="shared" si="23"/>
        <v>1454.1201526980585</v>
      </c>
      <c r="G28" s="75">
        <f t="shared" si="23"/>
        <v>1839.9386428333034</v>
      </c>
      <c r="H28" s="75">
        <f t="shared" si="23"/>
        <v>2235.0172809237665</v>
      </c>
      <c r="I28" s="75">
        <f t="shared" si="23"/>
        <v>2639.5253611614171</v>
      </c>
      <c r="J28" s="75">
        <f t="shared" si="23"/>
        <v>3053.6349397504746</v>
      </c>
      <c r="K28" s="75">
        <f t="shared" si="23"/>
        <v>3477.5208772200526</v>
      </c>
      <c r="L28" s="75">
        <f t="shared" si="23"/>
        <v>3911.3608813595656</v>
      </c>
      <c r="M28" s="75">
        <f t="shared" si="23"/>
        <v>4355.335550785845</v>
      </c>
      <c r="N28" s="75">
        <f t="shared" si="23"/>
        <v>4809.6284191509649</v>
      </c>
      <c r="O28" s="75">
        <f t="shared" si="23"/>
        <v>5274.4259999999967</v>
      </c>
      <c r="P28" s="76">
        <f t="shared" si="5"/>
        <v>0.10975309371984955</v>
      </c>
      <c r="Q28" s="77"/>
      <c r="R28" s="78" t="s">
        <v>22</v>
      </c>
      <c r="S28" s="79">
        <v>0.15999999999999995</v>
      </c>
      <c r="T28" s="79">
        <v>0.16196560983759195</v>
      </c>
      <c r="U28" s="79">
        <v>0.16395536731289417</v>
      </c>
      <c r="V28" s="79">
        <v>0.16596956908112065</v>
      </c>
      <c r="W28" s="79">
        <v>0.16800851544191284</v>
      </c>
      <c r="X28" s="79">
        <v>0.17007251038411192</v>
      </c>
      <c r="Y28" s="79">
        <v>0.17216186163108049</v>
      </c>
      <c r="Z28" s="79">
        <v>0.17427688068658176</v>
      </c>
      <c r="AA28" s="79">
        <v>0.17641788288122168</v>
      </c>
      <c r="AB28" s="79">
        <v>0.17858518741946222</v>
      </c>
      <c r="AC28" s="79">
        <v>0.18077911742721162</v>
      </c>
      <c r="AD28" s="79">
        <v>0.18299999999999988</v>
      </c>
    </row>
    <row r="29" spans="2:30" s="80" customFormat="1" x14ac:dyDescent="0.35">
      <c r="B29" s="73"/>
      <c r="C29" s="78" t="s">
        <v>23</v>
      </c>
      <c r="D29" s="81">
        <f>D7*S29</f>
        <v>798.30000000000018</v>
      </c>
      <c r="E29" s="81">
        <f t="shared" ref="E29:O29" si="24">E7*T29</f>
        <v>1210.5210323365341</v>
      </c>
      <c r="F29" s="81">
        <f t="shared" si="24"/>
        <v>1631.7076429549418</v>
      </c>
      <c r="G29" s="81">
        <f t="shared" si="24"/>
        <v>2062.0071223242926</v>
      </c>
      <c r="H29" s="81">
        <f t="shared" si="24"/>
        <v>2501.5689156613257</v>
      </c>
      <c r="I29" s="81">
        <f t="shared" si="24"/>
        <v>2950.5446525038801</v>
      </c>
      <c r="J29" s="81">
        <f t="shared" si="24"/>
        <v>3409.0881766741149</v>
      </c>
      <c r="K29" s="81">
        <f t="shared" si="24"/>
        <v>3877.3555766365203</v>
      </c>
      <c r="L29" s="81">
        <f t="shared" si="24"/>
        <v>4355.505216255774</v>
      </c>
      <c r="M29" s="81">
        <f t="shared" si="24"/>
        <v>4843.6977659595723</v>
      </c>
      <c r="N29" s="81">
        <f t="shared" si="24"/>
        <v>5342.0962343116162</v>
      </c>
      <c r="O29" s="81">
        <f t="shared" si="24"/>
        <v>5850.8660000000064</v>
      </c>
      <c r="P29" s="82">
        <f t="shared" si="5"/>
        <v>0.10833521025794023</v>
      </c>
      <c r="Q29" s="77"/>
      <c r="R29" s="78" t="s">
        <v>23</v>
      </c>
      <c r="S29" s="79">
        <v>0.18000000000000005</v>
      </c>
      <c r="T29" s="79">
        <v>0.1819785075671278</v>
      </c>
      <c r="U29" s="79">
        <v>0.18397876231310653</v>
      </c>
      <c r="V29" s="79">
        <v>0.18600100327659141</v>
      </c>
      <c r="W29" s="79">
        <v>0.18804547212368081</v>
      </c>
      <c r="X29" s="79">
        <v>0.19011241317679639</v>
      </c>
      <c r="Y29" s="79">
        <v>0.19220207344388088</v>
      </c>
      <c r="Z29" s="79">
        <v>0.19431470264791623</v>
      </c>
      <c r="AA29" s="79">
        <v>0.19645055325676669</v>
      </c>
      <c r="AB29" s="79">
        <v>0.19860988051334968</v>
      </c>
      <c r="AC29" s="79">
        <v>0.20079294246613855</v>
      </c>
      <c r="AD29" s="79">
        <v>0.20300000000000024</v>
      </c>
    </row>
    <row r="30" spans="2:30" s="80" customFormat="1" ht="16" thickBot="1" x14ac:dyDescent="0.4">
      <c r="B30" s="83"/>
      <c r="C30" s="84" t="s">
        <v>24</v>
      </c>
      <c r="D30" s="85">
        <f>D7*S30</f>
        <v>2927.1000000000004</v>
      </c>
      <c r="E30" s="85">
        <f t="shared" ref="E30:O30" si="25">E7*T30</f>
        <v>4364.0837310238039</v>
      </c>
      <c r="F30" s="85">
        <f t="shared" si="25"/>
        <v>5783.1722043469999</v>
      </c>
      <c r="G30" s="85">
        <f t="shared" si="25"/>
        <v>7184.0542348424051</v>
      </c>
      <c r="H30" s="85">
        <f t="shared" si="25"/>
        <v>8566.4138034149073</v>
      </c>
      <c r="I30" s="85">
        <f t="shared" si="25"/>
        <v>9929.9299863347042</v>
      </c>
      <c r="J30" s="85">
        <f t="shared" si="25"/>
        <v>11274.27688357541</v>
      </c>
      <c r="K30" s="85">
        <f t="shared" si="25"/>
        <v>12599.123546143428</v>
      </c>
      <c r="L30" s="85">
        <f t="shared" si="25"/>
        <v>13904.133902384659</v>
      </c>
      <c r="M30" s="85">
        <f t="shared" si="25"/>
        <v>15188.966683254584</v>
      </c>
      <c r="N30" s="85">
        <f t="shared" si="25"/>
        <v>16453.275346537419</v>
      </c>
      <c r="O30" s="85">
        <f t="shared" si="25"/>
        <v>17696.707999999995</v>
      </c>
      <c r="P30" s="86">
        <f t="shared" si="5"/>
        <v>8.8649400101835377E-2</v>
      </c>
      <c r="Q30" s="87"/>
      <c r="R30" s="84" t="s">
        <v>24</v>
      </c>
      <c r="S30" s="88">
        <f>1-SUM(S28:S29)</f>
        <v>0.66</v>
      </c>
      <c r="T30" s="88">
        <f t="shared" ref="T30:AD30" si="26">1-SUM(T28:T29)</f>
        <v>0.65605588259528025</v>
      </c>
      <c r="U30" s="88">
        <f t="shared" si="26"/>
        <v>0.65206587037399932</v>
      </c>
      <c r="V30" s="88">
        <f t="shared" si="26"/>
        <v>0.64802942764228799</v>
      </c>
      <c r="W30" s="88">
        <f t="shared" si="26"/>
        <v>0.6439460124344063</v>
      </c>
      <c r="X30" s="88">
        <f t="shared" si="26"/>
        <v>0.63981507643909175</v>
      </c>
      <c r="Y30" s="88">
        <f t="shared" si="26"/>
        <v>0.63563606492503866</v>
      </c>
      <c r="Z30" s="88">
        <f t="shared" si="26"/>
        <v>0.63140841666550207</v>
      </c>
      <c r="AA30" s="88">
        <f t="shared" si="26"/>
        <v>0.62713156386201163</v>
      </c>
      <c r="AB30" s="88">
        <f t="shared" si="26"/>
        <v>0.62280493206718812</v>
      </c>
      <c r="AC30" s="88">
        <f t="shared" si="26"/>
        <v>0.61842794010664981</v>
      </c>
      <c r="AD30" s="88">
        <f t="shared" si="26"/>
        <v>0.61399999999999988</v>
      </c>
    </row>
  </sheetData>
  <mergeCells count="6">
    <mergeCell ref="B6:C7"/>
    <mergeCell ref="B10:B13"/>
    <mergeCell ref="B15:B17"/>
    <mergeCell ref="B19:B21"/>
    <mergeCell ref="B23:B26"/>
    <mergeCell ref="B28:B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Tejal Mugul</dc:creator>
  <cp:lastModifiedBy>Tejal Mugul</cp:lastModifiedBy>
  <dcterms:created xsi:type="dcterms:W3CDTF">2026-10-12T09:48:16Z</dcterms:created>
  <dcterms:modified xsi:type="dcterms:W3CDTF">2026-10-12T09:48:51Z</dcterms:modified>
</cp:coreProperties>
</file>