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CHINMAY\Downloads\"/>
    </mc:Choice>
  </mc:AlternateContent>
  <xr:revisionPtr revIDLastSave="0" documentId="13_ncr:1_{30BB6AFD-9B21-470A-B187-41365EC0427E}" xr6:coauthVersionLast="36" xr6:coauthVersionMax="47" xr10:uidLastSave="{00000000-0000-0000-0000-000000000000}"/>
  <bookViews>
    <workbookView xWindow="0" yWindow="0" windowWidth="17256" windowHeight="7764" xr2:uid="{00000000-000D-0000-FFFF-FFFF00000000}"/>
  </bookViews>
  <sheets>
    <sheet name="Calc.1" sheetId="4" r:id="rId1"/>
    <sheet name="Calc. 2" sheetId="5" r:id="rId2"/>
    <sheet name="Cancer Disease Progression" sheetId="1" r:id="rId3"/>
    <sheet name="Input" sheetId="3" r:id="rId4"/>
    <sheet name="Forecasting Sheet" sheetId="6" r:id="rId5"/>
  </sheets>
  <calcPr calcId="191029"/>
</workbook>
</file>

<file path=xl/calcChain.xml><?xml version="1.0" encoding="utf-8"?>
<calcChain xmlns="http://schemas.openxmlformats.org/spreadsheetml/2006/main">
  <c r="K77" i="6" l="1"/>
  <c r="L77" i="6" s="1"/>
  <c r="G77" i="6"/>
  <c r="H77" i="6"/>
  <c r="I77" i="6"/>
  <c r="J77" i="6"/>
  <c r="F77" i="6"/>
  <c r="E79" i="6"/>
  <c r="E77" i="6"/>
  <c r="A68" i="6"/>
  <c r="C65" i="6"/>
  <c r="D65" i="6"/>
  <c r="E65" i="6"/>
  <c r="F65" i="6"/>
  <c r="G65" i="6"/>
  <c r="H65" i="6"/>
  <c r="I65" i="6"/>
  <c r="J65" i="6"/>
  <c r="K65" i="6"/>
  <c r="L65" i="6"/>
  <c r="M65" i="6"/>
  <c r="N65" i="6"/>
  <c r="E52" i="6"/>
  <c r="F52" i="6"/>
  <c r="F51" i="6"/>
  <c r="G51" i="6"/>
  <c r="C51" i="6"/>
  <c r="C52" i="6"/>
  <c r="C50" i="6"/>
  <c r="A47" i="6"/>
  <c r="D45" i="6"/>
  <c r="E45" i="6"/>
  <c r="F45" i="6"/>
  <c r="G45" i="6"/>
  <c r="H45" i="6"/>
  <c r="I45" i="6"/>
  <c r="J45" i="6"/>
  <c r="K45" i="6"/>
  <c r="L45" i="6"/>
  <c r="M45" i="6"/>
  <c r="N45" i="6"/>
  <c r="C45" i="6"/>
  <c r="A25" i="6"/>
  <c r="D23" i="6"/>
  <c r="E23" i="6"/>
  <c r="F23" i="6"/>
  <c r="G23" i="6"/>
  <c r="H23" i="6"/>
  <c r="I23" i="6"/>
  <c r="J23" i="6"/>
  <c r="K23" i="6"/>
  <c r="L23" i="6"/>
  <c r="M23" i="6"/>
  <c r="N23" i="6"/>
  <c r="C23" i="6"/>
  <c r="C11" i="6"/>
  <c r="C15" i="6" s="1"/>
  <c r="D8" i="6"/>
  <c r="E8" i="6" s="1"/>
  <c r="Z7" i="6"/>
  <c r="AL7" i="6" s="1"/>
  <c r="AX7" i="6" s="1"/>
  <c r="BJ7" i="6" s="1"/>
  <c r="BV7" i="6" s="1"/>
  <c r="CH7" i="6" s="1"/>
  <c r="Y7" i="6"/>
  <c r="AK7" i="6" s="1"/>
  <c r="AW7" i="6" s="1"/>
  <c r="BI7" i="6" s="1"/>
  <c r="BU7" i="6" s="1"/>
  <c r="CG7" i="6" s="1"/>
  <c r="X7" i="6"/>
  <c r="AJ7" i="6" s="1"/>
  <c r="AV7" i="6" s="1"/>
  <c r="BH7" i="6" s="1"/>
  <c r="BT7" i="6" s="1"/>
  <c r="CF7" i="6" s="1"/>
  <c r="W7" i="6"/>
  <c r="AI7" i="6" s="1"/>
  <c r="AU7" i="6" s="1"/>
  <c r="BG7" i="6" s="1"/>
  <c r="BS7" i="6" s="1"/>
  <c r="CE7" i="6" s="1"/>
  <c r="V7" i="6"/>
  <c r="AH7" i="6" s="1"/>
  <c r="AT7" i="6" s="1"/>
  <c r="BF7" i="6" s="1"/>
  <c r="BR7" i="6" s="1"/>
  <c r="CD7" i="6" s="1"/>
  <c r="U7" i="6"/>
  <c r="AG7" i="6" s="1"/>
  <c r="AS7" i="6" s="1"/>
  <c r="BE7" i="6" s="1"/>
  <c r="BQ7" i="6" s="1"/>
  <c r="CC7" i="6" s="1"/>
  <c r="T7" i="6"/>
  <c r="AF7" i="6" s="1"/>
  <c r="AR7" i="6" s="1"/>
  <c r="BD7" i="6" s="1"/>
  <c r="BP7" i="6" s="1"/>
  <c r="CB7" i="6" s="1"/>
  <c r="S7" i="6"/>
  <c r="AE7" i="6" s="1"/>
  <c r="AQ7" i="6" s="1"/>
  <c r="BC7" i="6" s="1"/>
  <c r="BO7" i="6" s="1"/>
  <c r="CA7" i="6" s="1"/>
  <c r="R7" i="6"/>
  <c r="AD7" i="6" s="1"/>
  <c r="AP7" i="6" s="1"/>
  <c r="BB7" i="6" s="1"/>
  <c r="BN7" i="6" s="1"/>
  <c r="BZ7" i="6" s="1"/>
  <c r="Q7" i="6"/>
  <c r="AC7" i="6" s="1"/>
  <c r="AO7" i="6" s="1"/>
  <c r="BA7" i="6" s="1"/>
  <c r="BM7" i="6" s="1"/>
  <c r="BY7" i="6" s="1"/>
  <c r="P7" i="6"/>
  <c r="AB7" i="6" s="1"/>
  <c r="AN7" i="6" s="1"/>
  <c r="AZ7" i="6" s="1"/>
  <c r="BL7" i="6" s="1"/>
  <c r="BX7" i="6" s="1"/>
  <c r="O7" i="6"/>
  <c r="AA7" i="6" s="1"/>
  <c r="AM7" i="6" s="1"/>
  <c r="AY7" i="6" s="1"/>
  <c r="BK7" i="6" s="1"/>
  <c r="BW7" i="6" s="1"/>
  <c r="D4" i="6"/>
  <c r="E4" i="6" s="1"/>
  <c r="F4" i="6" s="1"/>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AN4" i="6" s="1"/>
  <c r="AO4" i="6" s="1"/>
  <c r="AP4" i="6" s="1"/>
  <c r="AQ4" i="6" s="1"/>
  <c r="AR4" i="6" s="1"/>
  <c r="AS4" i="6" s="1"/>
  <c r="AT4" i="6" s="1"/>
  <c r="AU4" i="6" s="1"/>
  <c r="AV4" i="6" s="1"/>
  <c r="AW4" i="6" s="1"/>
  <c r="AX4" i="6" s="1"/>
  <c r="AY4" i="6" s="1"/>
  <c r="B3" i="6"/>
  <c r="C3" i="6" s="1"/>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AQ3" i="6" s="1"/>
  <c r="AR3" i="6" s="1"/>
  <c r="AS3" i="6" s="1"/>
  <c r="AT3" i="6" s="1"/>
  <c r="AU3" i="6" s="1"/>
  <c r="AV3" i="6" s="1"/>
  <c r="AW3" i="6" s="1"/>
  <c r="AX3" i="6" s="1"/>
  <c r="AY3" i="6" s="1"/>
  <c r="B79" i="5"/>
  <c r="A68" i="5"/>
  <c r="D66" i="5"/>
  <c r="E66" i="5"/>
  <c r="F66" i="5"/>
  <c r="G66" i="5"/>
  <c r="H66" i="5"/>
  <c r="I66" i="5"/>
  <c r="J66" i="5"/>
  <c r="K66" i="5"/>
  <c r="L66" i="5"/>
  <c r="M66" i="5"/>
  <c r="N66" i="5"/>
  <c r="C66" i="5"/>
  <c r="C51" i="5"/>
  <c r="C50" i="5"/>
  <c r="C49" i="5"/>
  <c r="H51" i="5"/>
  <c r="G51" i="5"/>
  <c r="F51" i="5"/>
  <c r="E51" i="5"/>
  <c r="D51" i="5"/>
  <c r="D50" i="5"/>
  <c r="E50" i="5"/>
  <c r="F50" i="5"/>
  <c r="G50" i="5"/>
  <c r="H50" i="5"/>
  <c r="D49" i="5"/>
  <c r="A46" i="5"/>
  <c r="D44" i="5"/>
  <c r="E44" i="5"/>
  <c r="F44" i="5"/>
  <c r="G44" i="5"/>
  <c r="H44" i="5"/>
  <c r="I44" i="5"/>
  <c r="J44" i="5"/>
  <c r="K44" i="5"/>
  <c r="L44" i="5"/>
  <c r="M44" i="5"/>
  <c r="N44" i="5"/>
  <c r="C44" i="5"/>
  <c r="A24" i="5"/>
  <c r="C17" i="5"/>
  <c r="F22" i="5" s="1"/>
  <c r="C8" i="5"/>
  <c r="D8" i="5" s="1"/>
  <c r="E8" i="5" s="1"/>
  <c r="F8" i="5" s="1"/>
  <c r="G8" i="5" s="1"/>
  <c r="H8" i="5" s="1"/>
  <c r="I8" i="5" s="1"/>
  <c r="J8" i="5" s="1"/>
  <c r="K8" i="5" s="1"/>
  <c r="L8" i="5" s="1"/>
  <c r="M8" i="5" s="1"/>
  <c r="N8" i="5" s="1"/>
  <c r="N11" i="5" s="1"/>
  <c r="N14" i="5" s="1"/>
  <c r="C4" i="5"/>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AN4" i="5" s="1"/>
  <c r="AO4" i="5" s="1"/>
  <c r="AP4" i="5" s="1"/>
  <c r="AQ4" i="5" s="1"/>
  <c r="AR4" i="5" s="1"/>
  <c r="AS4" i="5" s="1"/>
  <c r="B3" i="5"/>
  <c r="C3" i="5" s="1"/>
  <c r="D3" i="5" s="1"/>
  <c r="E3" i="5" s="1"/>
  <c r="F3" i="5" s="1"/>
  <c r="G3" i="5" s="1"/>
  <c r="H3" i="5" s="1"/>
  <c r="I3" i="5" s="1"/>
  <c r="J3" i="5" s="1"/>
  <c r="K3" i="5" s="1"/>
  <c r="L3" i="5" s="1"/>
  <c r="M3" i="5" s="1"/>
  <c r="N3" i="5" s="1"/>
  <c r="O3" i="5" s="1"/>
  <c r="P3" i="5" s="1"/>
  <c r="Q3" i="5" s="1"/>
  <c r="R3" i="5" s="1"/>
  <c r="S3" i="5" s="1"/>
  <c r="T3" i="5" s="1"/>
  <c r="U3" i="5" s="1"/>
  <c r="V3" i="5" s="1"/>
  <c r="W3" i="5" s="1"/>
  <c r="X3" i="5" s="1"/>
  <c r="Y3" i="5" s="1"/>
  <c r="Z3" i="5" s="1"/>
  <c r="AA3" i="5" s="1"/>
  <c r="AB3" i="5" s="1"/>
  <c r="AC3" i="5" s="1"/>
  <c r="AD3" i="5" s="1"/>
  <c r="AE3" i="5" s="1"/>
  <c r="AF3" i="5" s="1"/>
  <c r="AG3" i="5" s="1"/>
  <c r="AH3" i="5" s="1"/>
  <c r="AI3" i="5" s="1"/>
  <c r="AJ3" i="5" s="1"/>
  <c r="AK3" i="5" s="1"/>
  <c r="AL3" i="5" s="1"/>
  <c r="AM3" i="5" s="1"/>
  <c r="AN3" i="5" s="1"/>
  <c r="AO3" i="5" s="1"/>
  <c r="AP3" i="5" s="1"/>
  <c r="AQ3" i="5" s="1"/>
  <c r="AR3" i="5" s="1"/>
  <c r="AS3" i="5" s="1"/>
  <c r="O6" i="5"/>
  <c r="AA6" i="5" s="1"/>
  <c r="AM6" i="5" s="1"/>
  <c r="AY6" i="5" s="1"/>
  <c r="BK6" i="5" s="1"/>
  <c r="BW6" i="5" s="1"/>
  <c r="CI6" i="5" s="1"/>
  <c r="Z6" i="5"/>
  <c r="AL6" i="5" s="1"/>
  <c r="AX6" i="5" s="1"/>
  <c r="BJ6" i="5" s="1"/>
  <c r="BV6" i="5" s="1"/>
  <c r="CH6" i="5" s="1"/>
  <c r="CT6" i="5" s="1"/>
  <c r="Y6" i="5"/>
  <c r="AK6" i="5" s="1"/>
  <c r="AW6" i="5" s="1"/>
  <c r="BI6" i="5" s="1"/>
  <c r="BU6" i="5" s="1"/>
  <c r="CG6" i="5" s="1"/>
  <c r="CS6" i="5" s="1"/>
  <c r="X6" i="5"/>
  <c r="AJ6" i="5" s="1"/>
  <c r="AV6" i="5" s="1"/>
  <c r="BH6" i="5" s="1"/>
  <c r="BT6" i="5" s="1"/>
  <c r="CF6" i="5" s="1"/>
  <c r="CR6" i="5" s="1"/>
  <c r="W6" i="5"/>
  <c r="AI6" i="5" s="1"/>
  <c r="AU6" i="5" s="1"/>
  <c r="BG6" i="5" s="1"/>
  <c r="BS6" i="5" s="1"/>
  <c r="CE6" i="5" s="1"/>
  <c r="CQ6" i="5" s="1"/>
  <c r="V6" i="5"/>
  <c r="AH6" i="5" s="1"/>
  <c r="AT6" i="5" s="1"/>
  <c r="BF6" i="5" s="1"/>
  <c r="BR6" i="5" s="1"/>
  <c r="CD6" i="5" s="1"/>
  <c r="CP6" i="5" s="1"/>
  <c r="U6" i="5"/>
  <c r="AG6" i="5" s="1"/>
  <c r="AS6" i="5" s="1"/>
  <c r="BE6" i="5" s="1"/>
  <c r="BQ6" i="5" s="1"/>
  <c r="CC6" i="5" s="1"/>
  <c r="CO6" i="5" s="1"/>
  <c r="T6" i="5"/>
  <c r="AF6" i="5" s="1"/>
  <c r="AR6" i="5" s="1"/>
  <c r="BD6" i="5" s="1"/>
  <c r="BP6" i="5" s="1"/>
  <c r="CB6" i="5" s="1"/>
  <c r="CN6" i="5" s="1"/>
  <c r="S6" i="5"/>
  <c r="AE6" i="5" s="1"/>
  <c r="AQ6" i="5" s="1"/>
  <c r="BC6" i="5" s="1"/>
  <c r="BO6" i="5" s="1"/>
  <c r="CA6" i="5" s="1"/>
  <c r="CM6" i="5" s="1"/>
  <c r="R6" i="5"/>
  <c r="AD6" i="5" s="1"/>
  <c r="AP6" i="5" s="1"/>
  <c r="BB6" i="5" s="1"/>
  <c r="BN6" i="5" s="1"/>
  <c r="BZ6" i="5" s="1"/>
  <c r="CL6" i="5" s="1"/>
  <c r="Q6" i="5"/>
  <c r="AC6" i="5" s="1"/>
  <c r="AO6" i="5" s="1"/>
  <c r="BA6" i="5" s="1"/>
  <c r="BM6" i="5" s="1"/>
  <c r="BY6" i="5" s="1"/>
  <c r="CK6" i="5" s="1"/>
  <c r="P6" i="5"/>
  <c r="AB6" i="5" s="1"/>
  <c r="AN6" i="5" s="1"/>
  <c r="AZ6" i="5" s="1"/>
  <c r="BL6" i="5" s="1"/>
  <c r="BX6" i="5" s="1"/>
  <c r="CJ6" i="5" s="1"/>
  <c r="A65" i="4"/>
  <c r="D63" i="4"/>
  <c r="E63" i="4"/>
  <c r="F63" i="4"/>
  <c r="G63" i="4"/>
  <c r="H63" i="4"/>
  <c r="I63" i="4"/>
  <c r="J63" i="4"/>
  <c r="K63" i="4"/>
  <c r="L63" i="4"/>
  <c r="M63" i="4"/>
  <c r="N63" i="4"/>
  <c r="C63" i="4"/>
  <c r="C50" i="4"/>
  <c r="C49" i="4"/>
  <c r="D50" i="6" l="1"/>
  <c r="E51" i="6"/>
  <c r="H52" i="6"/>
  <c r="D52" i="6"/>
  <c r="H51" i="6"/>
  <c r="D51" i="6"/>
  <c r="G52" i="6"/>
  <c r="D11" i="6"/>
  <c r="D15" i="6" s="1"/>
  <c r="D25" i="6" s="1"/>
  <c r="D47" i="6" s="1"/>
  <c r="F8" i="6"/>
  <c r="E11" i="6"/>
  <c r="E15" i="6" s="1"/>
  <c r="E25" i="6"/>
  <c r="E47" i="6" s="1"/>
  <c r="E55" i="6" s="1"/>
  <c r="E68" i="6" s="1"/>
  <c r="E71" i="6" s="1"/>
  <c r="C25" i="6"/>
  <c r="C47" i="6" s="1"/>
  <c r="C55" i="6" s="1"/>
  <c r="C68" i="6" s="1"/>
  <c r="C71" i="6" s="1"/>
  <c r="I22" i="5"/>
  <c r="E22" i="5"/>
  <c r="M22" i="5"/>
  <c r="F11" i="5"/>
  <c r="F14" i="5" s="1"/>
  <c r="F24" i="5" s="1"/>
  <c r="C11" i="5"/>
  <c r="C14" i="5" s="1"/>
  <c r="G11" i="5"/>
  <c r="G14" i="5" s="1"/>
  <c r="K11" i="5"/>
  <c r="K14" i="5" s="1"/>
  <c r="L22" i="5"/>
  <c r="H22" i="5"/>
  <c r="D22" i="5"/>
  <c r="D11" i="5"/>
  <c r="D14" i="5" s="1"/>
  <c r="H11" i="5"/>
  <c r="H14" i="5" s="1"/>
  <c r="L11" i="5"/>
  <c r="L14" i="5" s="1"/>
  <c r="C22" i="5"/>
  <c r="C24" i="5" s="1"/>
  <c r="K22" i="5"/>
  <c r="G22" i="5"/>
  <c r="J11" i="5"/>
  <c r="J14" i="5" s="1"/>
  <c r="E11" i="5"/>
  <c r="E14" i="5" s="1"/>
  <c r="I11" i="5"/>
  <c r="I14" i="5" s="1"/>
  <c r="M11" i="5"/>
  <c r="M14" i="5" s="1"/>
  <c r="N22" i="5"/>
  <c r="N24" i="5" s="1"/>
  <c r="J22" i="5"/>
  <c r="D51" i="4"/>
  <c r="C51" i="4"/>
  <c r="D5" i="4"/>
  <c r="B4" i="4"/>
  <c r="C4" i="4" s="1"/>
  <c r="D4" i="4" s="1"/>
  <c r="E4" i="4" s="1"/>
  <c r="F4" i="4" s="1"/>
  <c r="G4" i="4" s="1"/>
  <c r="H4" i="4" s="1"/>
  <c r="I4" i="4" s="1"/>
  <c r="J4" i="4" s="1"/>
  <c r="K4" i="4" s="1"/>
  <c r="L4" i="4" s="1"/>
  <c r="A23" i="4"/>
  <c r="A38" i="4"/>
  <c r="D55" i="6" l="1"/>
  <c r="D68" i="6" s="1"/>
  <c r="D71" i="6" s="1"/>
  <c r="D36" i="6"/>
  <c r="J51" i="6" s="1"/>
  <c r="D35" i="6"/>
  <c r="F50" i="6" s="1"/>
  <c r="D38" i="6"/>
  <c r="D37" i="6"/>
  <c r="J52" i="6" s="1"/>
  <c r="E37" i="6"/>
  <c r="K52" i="6" s="1"/>
  <c r="E36" i="6"/>
  <c r="K51" i="6" s="1"/>
  <c r="E35" i="6"/>
  <c r="G50" i="6" s="1"/>
  <c r="E38" i="6"/>
  <c r="C38" i="6"/>
  <c r="C37" i="6"/>
  <c r="I52" i="6" s="1"/>
  <c r="C36" i="6"/>
  <c r="I51" i="6" s="1"/>
  <c r="C35" i="6"/>
  <c r="E50" i="6" s="1"/>
  <c r="G8" i="6"/>
  <c r="F11" i="6"/>
  <c r="F15" i="6" s="1"/>
  <c r="F25" i="6" s="1"/>
  <c r="F47" i="6" s="1"/>
  <c r="F55" i="6" s="1"/>
  <c r="F68" i="6" s="1"/>
  <c r="F71" i="6" s="1"/>
  <c r="N46" i="5"/>
  <c r="N34" i="5"/>
  <c r="N33" i="5"/>
  <c r="N35" i="5"/>
  <c r="N36" i="5"/>
  <c r="F46" i="5"/>
  <c r="F53" i="5" s="1"/>
  <c r="F57" i="5" s="1"/>
  <c r="F68" i="5" s="1"/>
  <c r="F72" i="5" s="1"/>
  <c r="F34" i="5"/>
  <c r="F33" i="5"/>
  <c r="F36" i="5"/>
  <c r="F35" i="5"/>
  <c r="I24" i="5"/>
  <c r="C35" i="5"/>
  <c r="C36" i="5"/>
  <c r="C34" i="5"/>
  <c r="C46" i="5"/>
  <c r="C53" i="5" s="1"/>
  <c r="C57" i="5" s="1"/>
  <c r="C68" i="5" s="1"/>
  <c r="C72" i="5" s="1"/>
  <c r="C33" i="5"/>
  <c r="E24" i="5"/>
  <c r="M24" i="5"/>
  <c r="D24" i="5"/>
  <c r="H24" i="5"/>
  <c r="J24" i="5"/>
  <c r="K24" i="5"/>
  <c r="G24" i="5"/>
  <c r="L24" i="5"/>
  <c r="D49" i="4"/>
  <c r="D50" i="4"/>
  <c r="E5" i="4"/>
  <c r="C37" i="4"/>
  <c r="C11" i="4"/>
  <c r="C13" i="4" s="1"/>
  <c r="D9" i="4"/>
  <c r="E9" i="4" s="1"/>
  <c r="F9" i="4" s="1"/>
  <c r="G9" i="4" s="1"/>
  <c r="H9" i="4" s="1"/>
  <c r="I9" i="4" s="1"/>
  <c r="J9" i="4" s="1"/>
  <c r="K9" i="4" s="1"/>
  <c r="L9" i="4" s="1"/>
  <c r="M9" i="4" s="1"/>
  <c r="N9" i="4" s="1"/>
  <c r="N11" i="4" s="1"/>
  <c r="N13" i="4" s="1"/>
  <c r="P7" i="4"/>
  <c r="AB7" i="4" s="1"/>
  <c r="AN7" i="4" s="1"/>
  <c r="AZ7" i="4" s="1"/>
  <c r="BL7" i="4" s="1"/>
  <c r="BX7" i="4" s="1"/>
  <c r="CJ7" i="4" s="1"/>
  <c r="Q7" i="4"/>
  <c r="AC7" i="4" s="1"/>
  <c r="AO7" i="4" s="1"/>
  <c r="BA7" i="4" s="1"/>
  <c r="BM7" i="4" s="1"/>
  <c r="BY7" i="4" s="1"/>
  <c r="CK7" i="4" s="1"/>
  <c r="R7" i="4"/>
  <c r="AD7" i="4" s="1"/>
  <c r="AP7" i="4" s="1"/>
  <c r="BB7" i="4" s="1"/>
  <c r="BN7" i="4" s="1"/>
  <c r="BZ7" i="4" s="1"/>
  <c r="CL7" i="4" s="1"/>
  <c r="S7" i="4"/>
  <c r="AE7" i="4" s="1"/>
  <c r="AQ7" i="4" s="1"/>
  <c r="BC7" i="4" s="1"/>
  <c r="BO7" i="4" s="1"/>
  <c r="CA7" i="4" s="1"/>
  <c r="CM7" i="4" s="1"/>
  <c r="T7" i="4"/>
  <c r="AF7" i="4" s="1"/>
  <c r="AR7" i="4" s="1"/>
  <c r="BD7" i="4" s="1"/>
  <c r="BP7" i="4" s="1"/>
  <c r="CB7" i="4" s="1"/>
  <c r="CN7" i="4" s="1"/>
  <c r="U7" i="4"/>
  <c r="AG7" i="4" s="1"/>
  <c r="AS7" i="4" s="1"/>
  <c r="BE7" i="4" s="1"/>
  <c r="BQ7" i="4" s="1"/>
  <c r="CC7" i="4" s="1"/>
  <c r="CO7" i="4" s="1"/>
  <c r="V7" i="4"/>
  <c r="AH7" i="4" s="1"/>
  <c r="AT7" i="4" s="1"/>
  <c r="BF7" i="4" s="1"/>
  <c r="BR7" i="4" s="1"/>
  <c r="CD7" i="4" s="1"/>
  <c r="CP7" i="4" s="1"/>
  <c r="W7" i="4"/>
  <c r="AI7" i="4" s="1"/>
  <c r="AU7" i="4" s="1"/>
  <c r="BG7" i="4" s="1"/>
  <c r="BS7" i="4" s="1"/>
  <c r="CE7" i="4" s="1"/>
  <c r="CQ7" i="4" s="1"/>
  <c r="X7" i="4"/>
  <c r="AJ7" i="4" s="1"/>
  <c r="AV7" i="4" s="1"/>
  <c r="BH7" i="4" s="1"/>
  <c r="BT7" i="4" s="1"/>
  <c r="CF7" i="4" s="1"/>
  <c r="CR7" i="4" s="1"/>
  <c r="Y7" i="4"/>
  <c r="AK7" i="4" s="1"/>
  <c r="AW7" i="4" s="1"/>
  <c r="BI7" i="4" s="1"/>
  <c r="BU7" i="4" s="1"/>
  <c r="CG7" i="4" s="1"/>
  <c r="CS7" i="4" s="1"/>
  <c r="Z7" i="4"/>
  <c r="AL7" i="4" s="1"/>
  <c r="AX7" i="4" s="1"/>
  <c r="BJ7" i="4" s="1"/>
  <c r="BV7" i="4" s="1"/>
  <c r="CH7" i="4" s="1"/>
  <c r="CT7" i="4" s="1"/>
  <c r="O7" i="4"/>
  <c r="AA7" i="4" s="1"/>
  <c r="AM7" i="4" s="1"/>
  <c r="AY7" i="4" s="1"/>
  <c r="BK7" i="4" s="1"/>
  <c r="BW7" i="4" s="1"/>
  <c r="CI7" i="4" s="1"/>
  <c r="E41" i="6" l="1"/>
  <c r="E40" i="6"/>
  <c r="D41" i="6"/>
  <c r="D40" i="6"/>
  <c r="C41" i="6"/>
  <c r="C40" i="6"/>
  <c r="F38" i="6"/>
  <c r="F37" i="6"/>
  <c r="L52" i="6" s="1"/>
  <c r="F36" i="6"/>
  <c r="L51" i="6" s="1"/>
  <c r="F35" i="6"/>
  <c r="H50" i="6" s="1"/>
  <c r="H8" i="6"/>
  <c r="G11" i="6"/>
  <c r="G15" i="6" s="1"/>
  <c r="G25" i="6" s="1"/>
  <c r="G47" i="6" s="1"/>
  <c r="G55" i="6" s="1"/>
  <c r="G68" i="6" s="1"/>
  <c r="G71" i="6" s="1"/>
  <c r="K46" i="5"/>
  <c r="K35" i="5"/>
  <c r="K34" i="5"/>
  <c r="K33" i="5"/>
  <c r="K36" i="5"/>
  <c r="M46" i="5"/>
  <c r="M34" i="5"/>
  <c r="M33" i="5"/>
  <c r="M36" i="5"/>
  <c r="M35" i="5"/>
  <c r="J46" i="5"/>
  <c r="J34" i="5"/>
  <c r="J33" i="5"/>
  <c r="J35" i="5"/>
  <c r="J36" i="5"/>
  <c r="E46" i="5"/>
  <c r="E53" i="5" s="1"/>
  <c r="E57" i="5" s="1"/>
  <c r="E68" i="5" s="1"/>
  <c r="E72" i="5" s="1"/>
  <c r="E36" i="5"/>
  <c r="E33" i="5"/>
  <c r="E35" i="5"/>
  <c r="E34" i="5"/>
  <c r="L46" i="5"/>
  <c r="L36" i="5"/>
  <c r="L35" i="5"/>
  <c r="L34" i="5"/>
  <c r="L33" i="5"/>
  <c r="H46" i="5"/>
  <c r="H53" i="5" s="1"/>
  <c r="H57" i="5" s="1"/>
  <c r="H68" i="5" s="1"/>
  <c r="H72" i="5" s="1"/>
  <c r="H36" i="5"/>
  <c r="H35" i="5"/>
  <c r="H34" i="5"/>
  <c r="H33" i="5"/>
  <c r="C39" i="5"/>
  <c r="I51" i="5" s="1"/>
  <c r="E49" i="5"/>
  <c r="C38" i="5"/>
  <c r="I50" i="5" s="1"/>
  <c r="H49" i="5"/>
  <c r="F38" i="5"/>
  <c r="L50" i="5" s="1"/>
  <c r="F39" i="5"/>
  <c r="L51" i="5" s="1"/>
  <c r="G46" i="5"/>
  <c r="G53" i="5" s="1"/>
  <c r="G57" i="5" s="1"/>
  <c r="G68" i="5" s="1"/>
  <c r="G72" i="5" s="1"/>
  <c r="G35" i="5"/>
  <c r="G34" i="5"/>
  <c r="G33" i="5"/>
  <c r="G36" i="5"/>
  <c r="D46" i="5"/>
  <c r="D53" i="5" s="1"/>
  <c r="D57" i="5" s="1"/>
  <c r="D68" i="5" s="1"/>
  <c r="D72" i="5" s="1"/>
  <c r="D36" i="5"/>
  <c r="D35" i="5"/>
  <c r="D34" i="5"/>
  <c r="D33" i="5"/>
  <c r="I46" i="5"/>
  <c r="I36" i="5"/>
  <c r="I34" i="5"/>
  <c r="I35" i="5"/>
  <c r="I33" i="5"/>
  <c r="N38" i="5"/>
  <c r="N39" i="5"/>
  <c r="F5" i="4"/>
  <c r="E50" i="4"/>
  <c r="E51" i="4"/>
  <c r="C21" i="4"/>
  <c r="G11" i="4"/>
  <c r="G13" i="4" s="1"/>
  <c r="L11" i="4"/>
  <c r="L13" i="4" s="1"/>
  <c r="H11" i="4"/>
  <c r="H13" i="4" s="1"/>
  <c r="M11" i="4"/>
  <c r="M13" i="4" s="1"/>
  <c r="D11" i="4"/>
  <c r="D13" i="4" s="1"/>
  <c r="I11" i="4"/>
  <c r="I13" i="4" s="1"/>
  <c r="E11" i="4"/>
  <c r="E13" i="4" s="1"/>
  <c r="K11" i="4"/>
  <c r="K13" i="4" s="1"/>
  <c r="F11" i="4"/>
  <c r="F13" i="4" s="1"/>
  <c r="J11" i="4"/>
  <c r="J13" i="4" s="1"/>
  <c r="F41" i="6" l="1"/>
  <c r="F40" i="6"/>
  <c r="G38" i="6"/>
  <c r="G37" i="6"/>
  <c r="M52" i="6" s="1"/>
  <c r="G36" i="6"/>
  <c r="M51" i="6" s="1"/>
  <c r="G35" i="6"/>
  <c r="I50" i="6" s="1"/>
  <c r="I8" i="6"/>
  <c r="H11" i="6"/>
  <c r="H15" i="6" s="1"/>
  <c r="H25" i="6" s="1"/>
  <c r="H47" i="6" s="1"/>
  <c r="H55" i="6" s="1"/>
  <c r="H68" i="6" s="1"/>
  <c r="H71" i="6" s="1"/>
  <c r="L53" i="5"/>
  <c r="L57" i="5" s="1"/>
  <c r="L68" i="5" s="1"/>
  <c r="L72" i="5" s="1"/>
  <c r="M38" i="5"/>
  <c r="M39" i="5"/>
  <c r="K39" i="5"/>
  <c r="K38" i="5"/>
  <c r="M49" i="5"/>
  <c r="K49" i="5"/>
  <c r="I38" i="5"/>
  <c r="I39" i="5"/>
  <c r="I53" i="5"/>
  <c r="I57" i="5" s="1"/>
  <c r="I68" i="5" s="1"/>
  <c r="I72" i="5" s="1"/>
  <c r="G39" i="5"/>
  <c r="M51" i="5" s="1"/>
  <c r="M53" i="5" s="1"/>
  <c r="M57" i="5" s="1"/>
  <c r="M68" i="5" s="1"/>
  <c r="M72" i="5" s="1"/>
  <c r="I49" i="5"/>
  <c r="G38" i="5"/>
  <c r="M50" i="5" s="1"/>
  <c r="D39" i="5"/>
  <c r="J51" i="5" s="1"/>
  <c r="J53" i="5" s="1"/>
  <c r="J57" i="5" s="1"/>
  <c r="J68" i="5" s="1"/>
  <c r="J72" i="5" s="1"/>
  <c r="F49" i="5"/>
  <c r="D38" i="5"/>
  <c r="J50" i="5" s="1"/>
  <c r="H39" i="5"/>
  <c r="N51" i="5" s="1"/>
  <c r="N53" i="5" s="1"/>
  <c r="N57" i="5" s="1"/>
  <c r="N68" i="5" s="1"/>
  <c r="N72" i="5" s="1"/>
  <c r="E76" i="5" s="1"/>
  <c r="E79" i="5" s="1"/>
  <c r="J49" i="5"/>
  <c r="H38" i="5"/>
  <c r="N50" i="5" s="1"/>
  <c r="E39" i="5"/>
  <c r="K51" i="5" s="1"/>
  <c r="K53" i="5" s="1"/>
  <c r="K57" i="5" s="1"/>
  <c r="K68" i="5" s="1"/>
  <c r="K72" i="5" s="1"/>
  <c r="G49" i="5"/>
  <c r="E38" i="5"/>
  <c r="K50" i="5" s="1"/>
  <c r="N49" i="5"/>
  <c r="L39" i="5"/>
  <c r="L38" i="5"/>
  <c r="J38" i="5"/>
  <c r="L49" i="5"/>
  <c r="J39" i="5"/>
  <c r="G5" i="4"/>
  <c r="F50" i="4"/>
  <c r="F51" i="4"/>
  <c r="N23" i="4"/>
  <c r="J23" i="4"/>
  <c r="F23" i="4"/>
  <c r="L23" i="4"/>
  <c r="D23" i="4"/>
  <c r="K23" i="4"/>
  <c r="C23" i="4"/>
  <c r="M23" i="4"/>
  <c r="I23" i="4"/>
  <c r="E23" i="4"/>
  <c r="H23" i="4"/>
  <c r="G23" i="4"/>
  <c r="D37" i="4"/>
  <c r="D38" i="4" s="1"/>
  <c r="D21" i="4"/>
  <c r="G41" i="6" l="1"/>
  <c r="G40" i="6"/>
  <c r="H36" i="6"/>
  <c r="N51" i="6" s="1"/>
  <c r="H35" i="6"/>
  <c r="J50" i="6" s="1"/>
  <c r="H38" i="6"/>
  <c r="H37" i="6"/>
  <c r="N52" i="6" s="1"/>
  <c r="J8" i="6"/>
  <c r="I11" i="6"/>
  <c r="I15" i="6" s="1"/>
  <c r="I25" i="6" s="1"/>
  <c r="I47" i="6" s="1"/>
  <c r="I55" i="6" s="1"/>
  <c r="I68" i="6" s="1"/>
  <c r="I71" i="6" s="1"/>
  <c r="E80" i="5"/>
  <c r="F79" i="5" s="1"/>
  <c r="G79" i="5" s="1"/>
  <c r="H79" i="5" s="1"/>
  <c r="I79" i="5" s="1"/>
  <c r="J79" i="5" s="1"/>
  <c r="K79" i="5" s="1"/>
  <c r="L79" i="5" s="1"/>
  <c r="M79" i="5" s="1"/>
  <c r="N79" i="5" s="1"/>
  <c r="H5" i="4"/>
  <c r="G50" i="4"/>
  <c r="G51" i="4"/>
  <c r="G53" i="4" s="1"/>
  <c r="G56" i="4" s="1"/>
  <c r="G65" i="4" s="1"/>
  <c r="G69" i="4" s="1"/>
  <c r="G32" i="4"/>
  <c r="G33" i="4"/>
  <c r="G34" i="4"/>
  <c r="G31" i="4"/>
  <c r="M32" i="4"/>
  <c r="M33" i="4"/>
  <c r="M34" i="4"/>
  <c r="M31" i="4"/>
  <c r="L31" i="4"/>
  <c r="L32" i="4"/>
  <c r="L33" i="4"/>
  <c r="L34" i="4"/>
  <c r="H31" i="4"/>
  <c r="H32" i="4"/>
  <c r="H33" i="4"/>
  <c r="H34" i="4"/>
  <c r="C38" i="4"/>
  <c r="C32" i="4"/>
  <c r="C33" i="4"/>
  <c r="C34" i="4"/>
  <c r="C53" i="4" s="1"/>
  <c r="C56" i="4" s="1"/>
  <c r="C65" i="4" s="1"/>
  <c r="C69" i="4" s="1"/>
  <c r="C31" i="4"/>
  <c r="E49" i="4" s="1"/>
  <c r="F31" i="4"/>
  <c r="F32" i="4"/>
  <c r="F33" i="4"/>
  <c r="F34" i="4"/>
  <c r="F53" i="4" s="1"/>
  <c r="F56" i="4" s="1"/>
  <c r="F65" i="4" s="1"/>
  <c r="F69" i="4" s="1"/>
  <c r="J31" i="4"/>
  <c r="J32" i="4"/>
  <c r="J33" i="4"/>
  <c r="J34" i="4"/>
  <c r="E31" i="4"/>
  <c r="G49" i="4" s="1"/>
  <c r="E32" i="4"/>
  <c r="E33" i="4"/>
  <c r="E34" i="4"/>
  <c r="E53" i="4" s="1"/>
  <c r="E56" i="4" s="1"/>
  <c r="E65" i="4" s="1"/>
  <c r="E69" i="4" s="1"/>
  <c r="K32" i="4"/>
  <c r="K33" i="4"/>
  <c r="K34" i="4"/>
  <c r="K31" i="4"/>
  <c r="I32" i="4"/>
  <c r="I33" i="4"/>
  <c r="I34" i="4"/>
  <c r="I31" i="4"/>
  <c r="D31" i="4"/>
  <c r="F49" i="4" s="1"/>
  <c r="D32" i="4"/>
  <c r="D33" i="4"/>
  <c r="D34" i="4"/>
  <c r="D53" i="4" s="1"/>
  <c r="D56" i="4" s="1"/>
  <c r="D65" i="4" s="1"/>
  <c r="D69" i="4" s="1"/>
  <c r="N31" i="4"/>
  <c r="N32" i="4"/>
  <c r="N33" i="4"/>
  <c r="N34" i="4"/>
  <c r="E37" i="4"/>
  <c r="E38" i="4" s="1"/>
  <c r="E21" i="4"/>
  <c r="H41" i="6" l="1"/>
  <c r="H40" i="6"/>
  <c r="I37" i="6"/>
  <c r="I36" i="6"/>
  <c r="I35" i="6"/>
  <c r="K50" i="6" s="1"/>
  <c r="I38" i="6"/>
  <c r="K8" i="6"/>
  <c r="J11" i="6"/>
  <c r="J15" i="6" s="1"/>
  <c r="J25" i="6" s="1"/>
  <c r="J47" i="6" s="1"/>
  <c r="J55" i="6" s="1"/>
  <c r="J68" i="6" s="1"/>
  <c r="J71" i="6" s="1"/>
  <c r="I5" i="4"/>
  <c r="H49" i="4"/>
  <c r="H50" i="4"/>
  <c r="H51" i="4"/>
  <c r="H53" i="4" s="1"/>
  <c r="H56" i="4" s="1"/>
  <c r="H65" i="4" s="1"/>
  <c r="H69" i="4" s="1"/>
  <c r="M41" i="4"/>
  <c r="M40" i="4"/>
  <c r="G40" i="4"/>
  <c r="G41" i="4"/>
  <c r="N41" i="4"/>
  <c r="N40" i="4"/>
  <c r="D40" i="4"/>
  <c r="D41" i="4"/>
  <c r="E41" i="4"/>
  <c r="E40" i="4"/>
  <c r="J41" i="4"/>
  <c r="J40" i="4"/>
  <c r="F41" i="4"/>
  <c r="F40" i="4"/>
  <c r="I41" i="4"/>
  <c r="I40" i="4"/>
  <c r="K40" i="4"/>
  <c r="K41" i="4"/>
  <c r="C40" i="4"/>
  <c r="C41" i="4"/>
  <c r="H40" i="4"/>
  <c r="H41" i="4"/>
  <c r="L40" i="4"/>
  <c r="L41" i="4"/>
  <c r="F37" i="4"/>
  <c r="F38" i="4" s="1"/>
  <c r="F21" i="4"/>
  <c r="I41" i="6" l="1"/>
  <c r="I40" i="6"/>
  <c r="J38" i="6"/>
  <c r="J37" i="6"/>
  <c r="J36" i="6"/>
  <c r="J35" i="6"/>
  <c r="L50" i="6" s="1"/>
  <c r="L8" i="6"/>
  <c r="K11" i="6"/>
  <c r="K15" i="6" s="1"/>
  <c r="K25" i="6" s="1"/>
  <c r="K47" i="6" s="1"/>
  <c r="K55" i="6" s="1"/>
  <c r="K68" i="6" s="1"/>
  <c r="K71" i="6" s="1"/>
  <c r="J5" i="4"/>
  <c r="I49" i="4"/>
  <c r="I50" i="4"/>
  <c r="I51" i="4"/>
  <c r="I53" i="4" s="1"/>
  <c r="I56" i="4" s="1"/>
  <c r="I65" i="4" s="1"/>
  <c r="I69" i="4" s="1"/>
  <c r="G37" i="4"/>
  <c r="G38" i="4" s="1"/>
  <c r="G21" i="4"/>
  <c r="J41" i="6" l="1"/>
  <c r="J40" i="6"/>
  <c r="K38" i="6"/>
  <c r="K37" i="6"/>
  <c r="K36" i="6"/>
  <c r="K35" i="6"/>
  <c r="M50" i="6" s="1"/>
  <c r="M8" i="6"/>
  <c r="L11" i="6"/>
  <c r="L15" i="6" s="1"/>
  <c r="L25" i="6" s="1"/>
  <c r="L47" i="6" s="1"/>
  <c r="L55" i="6" s="1"/>
  <c r="L68" i="6" s="1"/>
  <c r="L71" i="6" s="1"/>
  <c r="K5" i="4"/>
  <c r="J51" i="4"/>
  <c r="J53" i="4" s="1"/>
  <c r="J56" i="4" s="1"/>
  <c r="J65" i="4" s="1"/>
  <c r="J69" i="4" s="1"/>
  <c r="J50" i="4"/>
  <c r="J49" i="4"/>
  <c r="H37" i="4"/>
  <c r="H38" i="4" s="1"/>
  <c r="H21" i="4"/>
  <c r="K40" i="6" l="1"/>
  <c r="K41" i="6"/>
  <c r="L36" i="6"/>
  <c r="L35" i="6"/>
  <c r="N50" i="6" s="1"/>
  <c r="L38" i="6"/>
  <c r="L37" i="6"/>
  <c r="N8" i="6"/>
  <c r="N11" i="6" s="1"/>
  <c r="N15" i="6" s="1"/>
  <c r="N25" i="6" s="1"/>
  <c r="N47" i="6" s="1"/>
  <c r="N55" i="6" s="1"/>
  <c r="N68" i="6" s="1"/>
  <c r="N71" i="6" s="1"/>
  <c r="M11" i="6"/>
  <c r="M15" i="6" s="1"/>
  <c r="M25" i="6" s="1"/>
  <c r="M47" i="6" s="1"/>
  <c r="M55" i="6" s="1"/>
  <c r="M68" i="6" s="1"/>
  <c r="M71" i="6" s="1"/>
  <c r="L5" i="4"/>
  <c r="K49" i="4"/>
  <c r="K50" i="4"/>
  <c r="K51" i="4"/>
  <c r="K53" i="4" s="1"/>
  <c r="K56" i="4" s="1"/>
  <c r="K65" i="4" s="1"/>
  <c r="K69" i="4" s="1"/>
  <c r="I37" i="4"/>
  <c r="I38" i="4" s="1"/>
  <c r="I21" i="4"/>
  <c r="L41" i="6" l="1"/>
  <c r="L40" i="6"/>
  <c r="M37" i="6"/>
  <c r="M36" i="6"/>
  <c r="M35" i="6"/>
  <c r="M38" i="6"/>
  <c r="N38" i="6"/>
  <c r="N37" i="6"/>
  <c r="N36" i="6"/>
  <c r="N35" i="6"/>
  <c r="M5" i="4"/>
  <c r="L50" i="4"/>
  <c r="L51" i="4"/>
  <c r="L53" i="4" s="1"/>
  <c r="L56" i="4" s="1"/>
  <c r="L65" i="4" s="1"/>
  <c r="L69" i="4" s="1"/>
  <c r="L49" i="4"/>
  <c r="J37" i="4"/>
  <c r="J38" i="4" s="1"/>
  <c r="J21" i="4"/>
  <c r="N41" i="6" l="1"/>
  <c r="N40" i="6"/>
  <c r="M41" i="6"/>
  <c r="M40" i="6"/>
  <c r="N5" i="4"/>
  <c r="M50" i="4"/>
  <c r="M49" i="4"/>
  <c r="M51" i="4"/>
  <c r="M53" i="4" s="1"/>
  <c r="M56" i="4" s="1"/>
  <c r="M65" i="4" s="1"/>
  <c r="M69" i="4" s="1"/>
  <c r="K37" i="4"/>
  <c r="K38" i="4" s="1"/>
  <c r="K21" i="4"/>
  <c r="O5" i="4" l="1"/>
  <c r="P5" i="4" s="1"/>
  <c r="Q5" i="4" s="1"/>
  <c r="R5" i="4" s="1"/>
  <c r="S5" i="4" s="1"/>
  <c r="T5" i="4" s="1"/>
  <c r="U5" i="4" s="1"/>
  <c r="V5" i="4" s="1"/>
  <c r="W5" i="4" s="1"/>
  <c r="X5" i="4" s="1"/>
  <c r="Y5" i="4" s="1"/>
  <c r="Z5" i="4" s="1"/>
  <c r="AA5" i="4" s="1"/>
  <c r="AB5" i="4" s="1"/>
  <c r="AC5" i="4" s="1"/>
  <c r="AD5" i="4" s="1"/>
  <c r="AE5" i="4" s="1"/>
  <c r="AF5" i="4" s="1"/>
  <c r="AG5" i="4" s="1"/>
  <c r="AH5" i="4" s="1"/>
  <c r="AI5" i="4" s="1"/>
  <c r="AJ5" i="4" s="1"/>
  <c r="AK5" i="4" s="1"/>
  <c r="AL5" i="4" s="1"/>
  <c r="AM5" i="4" s="1"/>
  <c r="AN5" i="4" s="1"/>
  <c r="AO5" i="4" s="1"/>
  <c r="AP5" i="4" s="1"/>
  <c r="AQ5" i="4" s="1"/>
  <c r="AR5" i="4" s="1"/>
  <c r="AS5" i="4" s="1"/>
  <c r="AT5" i="4" s="1"/>
  <c r="AU5" i="4" s="1"/>
  <c r="AV5" i="4" s="1"/>
  <c r="AW5" i="4" s="1"/>
  <c r="AX5" i="4" s="1"/>
  <c r="AY5" i="4" s="1"/>
  <c r="AZ5" i="4" s="1"/>
  <c r="BA5" i="4" s="1"/>
  <c r="BB5" i="4" s="1"/>
  <c r="BC5" i="4" s="1"/>
  <c r="BD5" i="4" s="1"/>
  <c r="BE5" i="4" s="1"/>
  <c r="BF5" i="4" s="1"/>
  <c r="BG5" i="4" s="1"/>
  <c r="BH5" i="4" s="1"/>
  <c r="BI5" i="4" s="1"/>
  <c r="BJ5" i="4" s="1"/>
  <c r="BK5" i="4" s="1"/>
  <c r="BL5" i="4" s="1"/>
  <c r="BM5" i="4" s="1"/>
  <c r="BN5" i="4" s="1"/>
  <c r="BO5" i="4" s="1"/>
  <c r="BP5" i="4" s="1"/>
  <c r="BQ5" i="4" s="1"/>
  <c r="BR5" i="4" s="1"/>
  <c r="BS5" i="4" s="1"/>
  <c r="BT5" i="4" s="1"/>
  <c r="BU5" i="4" s="1"/>
  <c r="BV5" i="4" s="1"/>
  <c r="BW5" i="4" s="1"/>
  <c r="BX5" i="4" s="1"/>
  <c r="BY5" i="4" s="1"/>
  <c r="BZ5" i="4" s="1"/>
  <c r="CA5" i="4" s="1"/>
  <c r="CB5" i="4" s="1"/>
  <c r="CC5" i="4" s="1"/>
  <c r="CD5" i="4" s="1"/>
  <c r="CE5" i="4" s="1"/>
  <c r="CF5" i="4" s="1"/>
  <c r="CG5" i="4" s="1"/>
  <c r="CH5" i="4" s="1"/>
  <c r="CI5" i="4" s="1"/>
  <c r="CJ5" i="4" s="1"/>
  <c r="CK5" i="4" s="1"/>
  <c r="CL5" i="4" s="1"/>
  <c r="CM5" i="4" s="1"/>
  <c r="CN5" i="4" s="1"/>
  <c r="CO5" i="4" s="1"/>
  <c r="CP5" i="4" s="1"/>
  <c r="CQ5" i="4" s="1"/>
  <c r="CR5" i="4" s="1"/>
  <c r="CS5" i="4" s="1"/>
  <c r="CT5" i="4" s="1"/>
  <c r="N51" i="4"/>
  <c r="N53" i="4" s="1"/>
  <c r="N56" i="4" s="1"/>
  <c r="N65" i="4" s="1"/>
  <c r="N69" i="4" s="1"/>
  <c r="E73" i="4" s="1"/>
  <c r="E75" i="4" s="1"/>
  <c r="N50" i="4"/>
  <c r="N49" i="4"/>
  <c r="M4" i="4"/>
  <c r="L37" i="4"/>
  <c r="L38" i="4" s="1"/>
  <c r="L21" i="4"/>
  <c r="E76" i="4" l="1"/>
  <c r="F75" i="4" s="1"/>
  <c r="G75" i="4" s="1"/>
  <c r="H75" i="4" s="1"/>
  <c r="I75" i="4" s="1"/>
  <c r="J75" i="4" s="1"/>
  <c r="K75" i="4" s="1"/>
  <c r="L75" i="4" s="1"/>
  <c r="N4" i="4"/>
  <c r="M37" i="4"/>
  <c r="M38" i="4" s="1"/>
  <c r="M21" i="4"/>
  <c r="O4" i="4" l="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AO4" i="4" s="1"/>
  <c r="AP4" i="4" s="1"/>
  <c r="AQ4" i="4" s="1"/>
  <c r="AR4" i="4" s="1"/>
  <c r="AS4" i="4" s="1"/>
  <c r="AT4" i="4" s="1"/>
  <c r="AU4" i="4" s="1"/>
  <c r="AV4" i="4" s="1"/>
  <c r="AW4" i="4" s="1"/>
  <c r="AX4" i="4" s="1"/>
  <c r="AY4" i="4" s="1"/>
  <c r="AZ4" i="4" s="1"/>
  <c r="BA4" i="4" s="1"/>
  <c r="BB4" i="4" s="1"/>
  <c r="BC4" i="4" s="1"/>
  <c r="BD4" i="4" s="1"/>
  <c r="BE4" i="4" s="1"/>
  <c r="BF4" i="4" s="1"/>
  <c r="BG4" i="4" s="1"/>
  <c r="BH4" i="4" s="1"/>
  <c r="BI4" i="4" s="1"/>
  <c r="BJ4" i="4" s="1"/>
  <c r="BK4" i="4" s="1"/>
  <c r="BL4" i="4" s="1"/>
  <c r="BM4" i="4" s="1"/>
  <c r="BN4" i="4" s="1"/>
  <c r="BO4" i="4" s="1"/>
  <c r="BP4" i="4" s="1"/>
  <c r="BQ4" i="4" s="1"/>
  <c r="BR4" i="4" s="1"/>
  <c r="BS4" i="4" s="1"/>
  <c r="BT4" i="4" s="1"/>
  <c r="BU4" i="4" s="1"/>
  <c r="BV4" i="4" s="1"/>
  <c r="BW4" i="4" s="1"/>
  <c r="BX4" i="4" s="1"/>
  <c r="BY4" i="4" s="1"/>
  <c r="BZ4" i="4" s="1"/>
  <c r="CA4" i="4" s="1"/>
  <c r="CB4" i="4" s="1"/>
  <c r="CC4" i="4" s="1"/>
  <c r="CD4" i="4" s="1"/>
  <c r="CE4" i="4" s="1"/>
  <c r="CF4" i="4" s="1"/>
  <c r="CG4" i="4" s="1"/>
  <c r="CH4" i="4" s="1"/>
  <c r="CI4" i="4" s="1"/>
  <c r="CJ4" i="4" s="1"/>
  <c r="CK4" i="4" s="1"/>
  <c r="CL4" i="4" s="1"/>
  <c r="CM4" i="4" s="1"/>
  <c r="CN4" i="4" s="1"/>
  <c r="CO4" i="4" s="1"/>
  <c r="CP4" i="4" s="1"/>
  <c r="CQ4" i="4" s="1"/>
  <c r="CR4" i="4" s="1"/>
  <c r="CS4" i="4" s="1"/>
  <c r="CT4" i="4" s="1"/>
  <c r="N37" i="4"/>
  <c r="N38" i="4" s="1"/>
  <c r="N21" i="4"/>
</calcChain>
</file>

<file path=xl/sharedStrings.xml><?xml version="1.0" encoding="utf-8"?>
<sst xmlns="http://schemas.openxmlformats.org/spreadsheetml/2006/main" count="424" uniqueCount="113">
  <si>
    <t>Target Patient Pool Estimation</t>
  </si>
  <si>
    <t>Epidemiology</t>
  </si>
  <si>
    <t>January</t>
  </si>
  <si>
    <t>February</t>
  </si>
  <si>
    <t>March</t>
  </si>
  <si>
    <t>April</t>
  </si>
  <si>
    <t>May</t>
  </si>
  <si>
    <t>June</t>
  </si>
  <si>
    <t>July</t>
  </si>
  <si>
    <t>August</t>
  </si>
  <si>
    <t>September</t>
  </si>
  <si>
    <t>October</t>
  </si>
  <si>
    <t>November</t>
  </si>
  <si>
    <t>December</t>
  </si>
  <si>
    <t>Total Population</t>
  </si>
  <si>
    <t>User Input</t>
  </si>
  <si>
    <t>Incidence Rate</t>
  </si>
  <si>
    <t>Incident Population</t>
  </si>
  <si>
    <t>Diagnosis Rate</t>
  </si>
  <si>
    <t>Diagnosed Population</t>
  </si>
  <si>
    <t>Patient Subtypes</t>
  </si>
  <si>
    <t>Sub-type 1 (NSCLC)</t>
  </si>
  <si>
    <t>Sub-type 2 (SCLC)</t>
  </si>
  <si>
    <t>Sub-type 3 (Carcinoid Tumours)</t>
  </si>
  <si>
    <t>Select Sub-type</t>
  </si>
  <si>
    <t>Patient Split by Stage</t>
  </si>
  <si>
    <t>Stage I</t>
  </si>
  <si>
    <t>Stage II</t>
  </si>
  <si>
    <t>Stage III</t>
  </si>
  <si>
    <t>Stage IV</t>
  </si>
  <si>
    <t>Select Stage</t>
  </si>
  <si>
    <t>Stage I Patients</t>
  </si>
  <si>
    <t>Stage II Patients</t>
  </si>
  <si>
    <t>Stage III Patients</t>
  </si>
  <si>
    <t>Stage IV Patients</t>
  </si>
  <si>
    <t>Progressed Patients from Early Stages</t>
  </si>
  <si>
    <t>Stage I + II</t>
  </si>
  <si>
    <t>Stage I + II + III</t>
  </si>
  <si>
    <t>Stage I to Stage II</t>
  </si>
  <si>
    <t>Stage I &amp; II to Stage III</t>
  </si>
  <si>
    <t>Stage I, II &amp; III to Stage IV</t>
  </si>
  <si>
    <t>Monthly Model</t>
  </si>
  <si>
    <t>Parameter</t>
  </si>
  <si>
    <t>Values</t>
  </si>
  <si>
    <t>Sources</t>
  </si>
  <si>
    <t>Validations (If any)</t>
  </si>
  <si>
    <t>Incidence of the cancer</t>
  </si>
  <si>
    <t>Treatment Rate</t>
  </si>
  <si>
    <t>Total Stage IV Patients</t>
  </si>
  <si>
    <t>First Line of Treatment</t>
  </si>
  <si>
    <t>Total Treated Patients</t>
  </si>
  <si>
    <t>Total Patients on Drug X</t>
  </si>
  <si>
    <t>Total Patients</t>
  </si>
  <si>
    <t>CAGR</t>
  </si>
  <si>
    <t>Second Line of Treatment</t>
  </si>
  <si>
    <t>Third Line of Treatment</t>
  </si>
  <si>
    <t>Select Line of Treatment</t>
  </si>
  <si>
    <t>Let say there is a drug X which is a first line therapy for the treatment of lung cancer, kindly forecast the sales of the mentioned drug till 2030?</t>
  </si>
  <si>
    <t>Drug X Penetration Rate</t>
  </si>
  <si>
    <t>Year Wise Calculation</t>
  </si>
  <si>
    <t>Year</t>
  </si>
  <si>
    <t>Cost of Drug X for a single Patient per Year (100000 USD)</t>
  </si>
  <si>
    <t xml:space="preserve">Total Sales </t>
  </si>
  <si>
    <t>Incidence of Lung Cancer</t>
  </si>
  <si>
    <t>Total Population of the US</t>
  </si>
  <si>
    <t>Total Patients with Lung cancer in the US</t>
  </si>
  <si>
    <t>Diagnostic Rate of Lung Cancer</t>
  </si>
  <si>
    <t>Total Diagnosed Lung Cancer Patients</t>
  </si>
  <si>
    <t>Subtypes of Lung Cancer</t>
  </si>
  <si>
    <t>Sub-type I (NSCLC)</t>
  </si>
  <si>
    <t>Sub-type II (SCLC)</t>
  </si>
  <si>
    <t>Sub-type III (Carcnoid Tumours)</t>
  </si>
  <si>
    <t>Subtype I (NSCLC)</t>
  </si>
  <si>
    <t>Select Subtype</t>
  </si>
  <si>
    <t>Stages of Lung Cancer</t>
  </si>
  <si>
    <t>Stage I+II+III</t>
  </si>
  <si>
    <t>Non Respondents who can move to other stages</t>
  </si>
  <si>
    <t>Stage I to II</t>
  </si>
  <si>
    <t>Stage I and II to stage III</t>
  </si>
  <si>
    <t>Stage I, II and III to Stage IV</t>
  </si>
  <si>
    <t>Months (Dummy)</t>
  </si>
  <si>
    <t>Stage IV Actual Patients</t>
  </si>
  <si>
    <t>Total Treated Stage IV patients</t>
  </si>
  <si>
    <t>Therapy Areas</t>
  </si>
  <si>
    <t>First Line Therapy</t>
  </si>
  <si>
    <t>Second Line Therapy</t>
  </si>
  <si>
    <t>Third Line Therapy</t>
  </si>
  <si>
    <t>Selected Therapy Area</t>
  </si>
  <si>
    <t>Drug X penetration rate</t>
  </si>
  <si>
    <t>Total Patients on drug X</t>
  </si>
  <si>
    <t>Yearly Model</t>
  </si>
  <si>
    <t>Total Revenues</t>
  </si>
  <si>
    <t>100000 USD</t>
  </si>
  <si>
    <t>Total Population in the US</t>
  </si>
  <si>
    <t>Incidence of Lung Cancer in the US</t>
  </si>
  <si>
    <t>Total Number of Patients suffering with Lung Cancer in the US</t>
  </si>
  <si>
    <t>Subtype II (SCLC)</t>
  </si>
  <si>
    <t>Subtype III (Carcinoid Tumours)</t>
  </si>
  <si>
    <t>Let say there is a drug X which is a first line therapy for the treatment of lung cancer subtype I (NSCLC), kindly forecast the sales of the mentioned drug till 2030?</t>
  </si>
  <si>
    <t>Staging of Lung Cancer</t>
  </si>
  <si>
    <t>Selected Stage</t>
  </si>
  <si>
    <t>Stage I and Stage II</t>
  </si>
  <si>
    <t>Stage I , Stage II and Stage III</t>
  </si>
  <si>
    <t>Very Important Steps</t>
  </si>
  <si>
    <t>Stage I, II to Stage III</t>
  </si>
  <si>
    <t>Stage I, II , III to Stage IV</t>
  </si>
  <si>
    <t>Actual Stage IV Patients</t>
  </si>
  <si>
    <t>Months Dummy</t>
  </si>
  <si>
    <t xml:space="preserve">Therapy Area </t>
  </si>
  <si>
    <t>Selected Therepy Area</t>
  </si>
  <si>
    <t>Total Drug X based Patients</t>
  </si>
  <si>
    <t>Year Based Model</t>
  </si>
  <si>
    <t>Cost of a single Patient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</si>
</sst>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 #,##0.0_ ;_ * \-#,##0.0_ ;_ * &quot;-&quot;?_ ;_ @_ "/>
    <numFmt numFmtId="166" formatCode="_ * #,##0_ ;_ * \-#,##0_ ;_ * &quot;-&quot;?_ ;_ @_ "/>
  </numFmts>
  <fonts count="17" x14ac:knownFonts="1">
    <font>
      <sz val="11"/>
      <color theme="1"/>
      <name val="Calibri"/>
      <family val="2"/>
      <scheme val="minor"/>
    </font>
    <font>
      <sz val="11"/>
      <color theme="1"/>
      <name val="Calibri"/>
      <family val="2"/>
      <scheme val="minor"/>
    </font>
    <font>
      <sz val="8"/>
      <name val="Calibri"/>
      <family val="2"/>
      <scheme val="minor"/>
    </font>
    <font>
      <sz val="12"/>
      <color theme="1"/>
      <name val="Calibri"/>
      <family val="2"/>
      <scheme val="minor"/>
    </font>
    <font>
      <b/>
      <sz val="12"/>
      <color theme="1"/>
      <name val="Times New Roman"/>
      <family val="1"/>
    </font>
    <font>
      <b/>
      <sz val="12"/>
      <color theme="1"/>
      <name val="Calibri"/>
      <family val="2"/>
      <scheme val="minor"/>
    </font>
    <font>
      <b/>
      <sz val="12"/>
      <color theme="3" tint="0.79998168889431442"/>
      <name val="Calibri"/>
      <family val="2"/>
      <scheme val="minor"/>
    </font>
    <font>
      <b/>
      <sz val="11"/>
      <color theme="0"/>
      <name val="Times New Roman"/>
      <family val="1"/>
    </font>
    <font>
      <b/>
      <sz val="16"/>
      <color theme="1"/>
      <name val="Times New Roman"/>
      <family val="1"/>
    </font>
    <font>
      <b/>
      <i/>
      <sz val="12"/>
      <color theme="1"/>
      <name val="Times New Roman"/>
      <family val="1"/>
    </font>
    <font>
      <b/>
      <i/>
      <sz val="14"/>
      <color theme="1"/>
      <name val="Times New Roman"/>
      <family val="1"/>
    </font>
    <font>
      <b/>
      <sz val="11"/>
      <color theme="1"/>
      <name val="Times New Roman"/>
      <family val="1"/>
    </font>
    <font>
      <b/>
      <i/>
      <sz val="11"/>
      <color theme="1"/>
      <name val="Times New Roman"/>
      <family val="1"/>
    </font>
    <font>
      <b/>
      <i/>
      <sz val="11"/>
      <color theme="3" tint="0.79998168889431442"/>
      <name val="Times New Roman"/>
      <family val="1"/>
    </font>
    <font>
      <b/>
      <sz val="12"/>
      <color theme="1" tint="0.34998626667073579"/>
      <name val="Times New Roman"/>
      <family val="1"/>
    </font>
    <font>
      <b/>
      <sz val="12"/>
      <color theme="0" tint="-0.14999847407452621"/>
      <name val="Times New Roman"/>
      <family val="1"/>
    </font>
    <font>
      <b/>
      <i/>
      <sz val="12"/>
      <color theme="1" tint="0.34998626667073579"/>
      <name val="Times New Roman"/>
      <family val="1"/>
    </font>
  </fonts>
  <fills count="14">
    <fill>
      <patternFill patternType="none"/>
    </fill>
    <fill>
      <patternFill patternType="gray125"/>
    </fill>
    <fill>
      <patternFill patternType="solid">
        <fgColor rgb="FF92D05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8"/>
        <bgColor indexed="64"/>
      </patternFill>
    </fill>
    <fill>
      <patternFill patternType="solid">
        <fgColor rgb="FF00B05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6" tint="-0.249977111117893"/>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32">
    <xf numFmtId="0" fontId="0" fillId="0" borderId="0" xfId="0"/>
    <xf numFmtId="0" fontId="3" fillId="0" borderId="0" xfId="0" applyFont="1"/>
    <xf numFmtId="1" fontId="3" fillId="0" borderId="0" xfId="0" applyNumberFormat="1" applyFont="1"/>
    <xf numFmtId="10" fontId="3" fillId="0" borderId="0" xfId="0" applyNumberFormat="1" applyFont="1"/>
    <xf numFmtId="9" fontId="3" fillId="0" borderId="0" xfId="0" applyNumberFormat="1" applyFont="1"/>
    <xf numFmtId="9" fontId="3" fillId="0" borderId="0" xfId="1" applyFont="1" applyFill="1"/>
    <xf numFmtId="0" fontId="4" fillId="5" borderId="0" xfId="0" applyFont="1" applyFill="1"/>
    <xf numFmtId="0" fontId="5" fillId="0" borderId="0" xfId="0" applyFont="1"/>
    <xf numFmtId="0" fontId="5" fillId="2" borderId="0" xfId="0" applyFont="1" applyFill="1"/>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0" borderId="0" xfId="0" applyFont="1" applyAlignment="1">
      <alignment horizontal="center" vertical="center"/>
    </xf>
    <xf numFmtId="0" fontId="4" fillId="4" borderId="0" xfId="0" applyFont="1" applyFill="1"/>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4" fillId="2" borderId="0" xfId="0" applyFont="1" applyFill="1"/>
    <xf numFmtId="1" fontId="5" fillId="0" borderId="0" xfId="0" applyNumberFormat="1" applyFont="1"/>
    <xf numFmtId="0" fontId="5" fillId="4" borderId="0" xfId="0" applyFont="1" applyFill="1"/>
    <xf numFmtId="9" fontId="5" fillId="0" borderId="0" xfId="1" applyFont="1" applyFill="1"/>
    <xf numFmtId="1" fontId="3" fillId="0" borderId="0" xfId="1" applyNumberFormat="1" applyFont="1" applyFill="1"/>
    <xf numFmtId="0" fontId="5" fillId="6" borderId="0" xfId="0" applyFont="1" applyFill="1"/>
    <xf numFmtId="0" fontId="6"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7" fillId="7" borderId="18" xfId="0" applyFont="1" applyFill="1" applyBorder="1"/>
    <xf numFmtId="0" fontId="7" fillId="7" borderId="19" xfId="0" applyFont="1" applyFill="1" applyBorder="1"/>
    <xf numFmtId="0" fontId="7" fillId="7" borderId="20" xfId="0" applyFont="1" applyFill="1" applyBorder="1"/>
    <xf numFmtId="9" fontId="5" fillId="0" borderId="0" xfId="0" applyNumberFormat="1" applyFont="1"/>
    <xf numFmtId="164" fontId="5" fillId="0" borderId="0" xfId="2" applyNumberFormat="1" applyFont="1"/>
    <xf numFmtId="9" fontId="5" fillId="0" borderId="0" xfId="1" applyFont="1"/>
    <xf numFmtId="164" fontId="5" fillId="0" borderId="0" xfId="0" applyNumberFormat="1" applyFont="1"/>
    <xf numFmtId="0" fontId="8" fillId="0" borderId="0" xfId="0" applyFont="1"/>
    <xf numFmtId="0" fontId="5" fillId="8" borderId="0" xfId="0" applyFont="1" applyFill="1"/>
    <xf numFmtId="164" fontId="5" fillId="8" borderId="0" xfId="0" applyNumberFormat="1" applyFont="1" applyFill="1"/>
    <xf numFmtId="9" fontId="0" fillId="0" borderId="0" xfId="0" applyNumberFormat="1"/>
    <xf numFmtId="0" fontId="8" fillId="2" borderId="0" xfId="0" applyFont="1" applyFill="1" applyAlignment="1">
      <alignment vertical="center"/>
    </xf>
    <xf numFmtId="0" fontId="0" fillId="2" borderId="0" xfId="0" applyFill="1" applyAlignment="1">
      <alignment vertical="center"/>
    </xf>
    <xf numFmtId="0" fontId="9" fillId="0" borderId="0" xfId="0" applyFont="1" applyAlignment="1">
      <alignment horizontal="center"/>
    </xf>
    <xf numFmtId="0" fontId="10" fillId="0" borderId="0" xfId="0" applyFont="1"/>
    <xf numFmtId="0" fontId="10" fillId="0" borderId="0" xfId="0" applyFont="1" applyAlignment="1">
      <alignment horizontal="center"/>
    </xf>
    <xf numFmtId="0" fontId="11" fillId="0" borderId="0" xfId="0" applyFont="1"/>
    <xf numFmtId="0" fontId="11" fillId="0" borderId="0" xfId="0" applyFont="1" applyAlignment="1">
      <alignment horizontal="center"/>
    </xf>
    <xf numFmtId="164" fontId="11" fillId="0" borderId="0" xfId="0" applyNumberFormat="1" applyFont="1"/>
    <xf numFmtId="9" fontId="11" fillId="0" borderId="0" xfId="0" applyNumberFormat="1" applyFont="1"/>
    <xf numFmtId="9" fontId="11" fillId="0" borderId="0" xfId="1" applyFont="1"/>
    <xf numFmtId="0" fontId="12" fillId="0" borderId="0" xfId="0" applyFont="1" applyAlignment="1">
      <alignment horizontal="center"/>
    </xf>
    <xf numFmtId="0" fontId="12" fillId="0" borderId="0" xfId="0" applyFont="1"/>
    <xf numFmtId="0" fontId="13" fillId="0" borderId="0" xfId="0" applyFont="1"/>
    <xf numFmtId="0" fontId="9" fillId="3" borderId="21" xfId="0" applyFont="1" applyFill="1" applyBorder="1" applyAlignment="1">
      <alignment horizontal="center"/>
    </xf>
    <xf numFmtId="0" fontId="9" fillId="3" borderId="22" xfId="0" applyFont="1" applyFill="1" applyBorder="1" applyAlignment="1">
      <alignment horizontal="center"/>
    </xf>
    <xf numFmtId="0" fontId="9" fillId="3" borderId="23" xfId="0" applyFont="1" applyFill="1" applyBorder="1" applyAlignment="1">
      <alignment horizontal="center"/>
    </xf>
    <xf numFmtId="0" fontId="12" fillId="3" borderId="12" xfId="0" applyFont="1" applyFill="1" applyBorder="1" applyAlignment="1">
      <alignment horizontal="center"/>
    </xf>
    <xf numFmtId="0" fontId="12" fillId="3" borderId="13" xfId="0" applyFont="1" applyFill="1" applyBorder="1" applyAlignment="1">
      <alignment horizontal="center"/>
    </xf>
    <xf numFmtId="0" fontId="12" fillId="3" borderId="14" xfId="0" applyFont="1" applyFill="1" applyBorder="1" applyAlignment="1">
      <alignment horizontal="center"/>
    </xf>
    <xf numFmtId="164" fontId="0" fillId="0" borderId="16" xfId="2" applyNumberFormat="1" applyFont="1" applyBorder="1"/>
    <xf numFmtId="164" fontId="12" fillId="0" borderId="0" xfId="2" applyNumberFormat="1" applyFont="1"/>
    <xf numFmtId="10" fontId="12" fillId="0" borderId="0" xfId="0" applyNumberFormat="1" applyFont="1"/>
    <xf numFmtId="164" fontId="12" fillId="0" borderId="0" xfId="0" applyNumberFormat="1" applyFont="1"/>
    <xf numFmtId="9" fontId="12" fillId="0" borderId="0" xfId="0" applyNumberFormat="1" applyFont="1"/>
    <xf numFmtId="0" fontId="10" fillId="2" borderId="0" xfId="0" applyFont="1" applyFill="1"/>
    <xf numFmtId="0" fontId="10" fillId="2" borderId="0" xfId="0" applyFont="1" applyFill="1" applyAlignment="1">
      <alignment horizontal="left"/>
    </xf>
    <xf numFmtId="9" fontId="9" fillId="0" borderId="0" xfId="0" applyNumberFormat="1" applyFont="1" applyAlignment="1">
      <alignment horizontal="right"/>
    </xf>
    <xf numFmtId="9" fontId="0" fillId="0" borderId="7" xfId="0" applyNumberFormat="1" applyBorder="1"/>
    <xf numFmtId="9" fontId="12" fillId="0" borderId="0" xfId="1" applyFont="1"/>
    <xf numFmtId="0" fontId="10" fillId="9" borderId="21" xfId="0" applyFont="1" applyFill="1" applyBorder="1"/>
    <xf numFmtId="0" fontId="11" fillId="9" borderId="22" xfId="0" applyFont="1" applyFill="1" applyBorder="1"/>
    <xf numFmtId="164" fontId="12" fillId="9" borderId="22" xfId="2" applyNumberFormat="1" applyFont="1" applyFill="1" applyBorder="1"/>
    <xf numFmtId="164" fontId="12" fillId="9" borderId="23" xfId="2" applyNumberFormat="1" applyFont="1" applyFill="1" applyBorder="1"/>
    <xf numFmtId="0" fontId="10" fillId="9" borderId="10" xfId="0" applyFont="1" applyFill="1" applyBorder="1"/>
    <xf numFmtId="0" fontId="11" fillId="9" borderId="0" xfId="0" applyFont="1" applyFill="1"/>
    <xf numFmtId="164" fontId="12" fillId="9" borderId="0" xfId="2" applyNumberFormat="1" applyFont="1" applyFill="1" applyBorder="1"/>
    <xf numFmtId="164" fontId="12" fillId="9" borderId="11" xfId="2" applyNumberFormat="1" applyFont="1" applyFill="1" applyBorder="1"/>
    <xf numFmtId="9" fontId="12" fillId="9" borderId="0" xfId="0" applyNumberFormat="1" applyFont="1" applyFill="1"/>
    <xf numFmtId="9" fontId="12" fillId="9" borderId="11" xfId="0" applyNumberFormat="1" applyFont="1" applyFill="1" applyBorder="1"/>
    <xf numFmtId="0" fontId="10" fillId="9" borderId="12" xfId="0" applyFont="1" applyFill="1" applyBorder="1"/>
    <xf numFmtId="0" fontId="11" fillId="9" borderId="13" xfId="0" applyFont="1" applyFill="1" applyBorder="1"/>
    <xf numFmtId="9" fontId="12" fillId="9" borderId="13" xfId="0" applyNumberFormat="1" applyFont="1" applyFill="1" applyBorder="1"/>
    <xf numFmtId="9" fontId="12" fillId="9" borderId="14" xfId="0" applyNumberFormat="1" applyFont="1" applyFill="1" applyBorder="1"/>
    <xf numFmtId="164" fontId="12" fillId="9" borderId="0" xfId="0" applyNumberFormat="1" applyFont="1" applyFill="1"/>
    <xf numFmtId="0" fontId="10" fillId="10" borderId="0" xfId="0" applyFont="1" applyFill="1"/>
    <xf numFmtId="0" fontId="11" fillId="10" borderId="0" xfId="0" applyFont="1" applyFill="1"/>
    <xf numFmtId="164" fontId="11" fillId="10" borderId="0" xfId="0" applyNumberFormat="1" applyFont="1" applyFill="1"/>
    <xf numFmtId="3" fontId="11" fillId="0" borderId="0" xfId="0" applyNumberFormat="1" applyFont="1"/>
    <xf numFmtId="0" fontId="11" fillId="2" borderId="0" xfId="0" applyFont="1" applyFill="1"/>
    <xf numFmtId="164" fontId="11" fillId="2" borderId="0" xfId="0" applyNumberFormat="1" applyFont="1" applyFill="1"/>
    <xf numFmtId="43" fontId="11" fillId="2" borderId="0" xfId="0" applyNumberFormat="1" applyFont="1" applyFill="1"/>
    <xf numFmtId="0" fontId="4" fillId="0" borderId="0" xfId="0" applyFont="1"/>
    <xf numFmtId="164" fontId="11" fillId="0" borderId="0" xfId="2" applyNumberFormat="1" applyFont="1"/>
    <xf numFmtId="165" fontId="11" fillId="0" borderId="0" xfId="0" applyNumberFormat="1" applyFont="1"/>
    <xf numFmtId="2" fontId="11" fillId="0" borderId="0" xfId="1" applyNumberFormat="1" applyFont="1"/>
    <xf numFmtId="0" fontId="14" fillId="0" borderId="0" xfId="0" applyFont="1"/>
    <xf numFmtId="0" fontId="15" fillId="0" borderId="0" xfId="0" applyFont="1"/>
    <xf numFmtId="0" fontId="4" fillId="10" borderId="0" xfId="0" applyFont="1" applyFill="1"/>
    <xf numFmtId="0" fontId="4" fillId="10" borderId="0" xfId="0" applyFont="1" applyFill="1" applyAlignment="1">
      <alignment horizontal="center"/>
    </xf>
    <xf numFmtId="0" fontId="9" fillId="0" borderId="0" xfId="0" applyFont="1"/>
    <xf numFmtId="0" fontId="16" fillId="0" borderId="0" xfId="0" applyFont="1"/>
    <xf numFmtId="164" fontId="4" fillId="0" borderId="0" xfId="2" applyNumberFormat="1" applyFont="1"/>
    <xf numFmtId="166" fontId="4" fillId="0" borderId="0" xfId="2" applyNumberFormat="1" applyFont="1"/>
    <xf numFmtId="166" fontId="4" fillId="0" borderId="0" xfId="0" applyNumberFormat="1" applyFont="1"/>
    <xf numFmtId="0" fontId="9" fillId="2" borderId="0" xfId="0" applyFont="1" applyFill="1"/>
    <xf numFmtId="10" fontId="4" fillId="0" borderId="0" xfId="0" applyNumberFormat="1" applyFont="1"/>
    <xf numFmtId="164" fontId="4" fillId="0" borderId="0" xfId="0" applyNumberFormat="1" applyFont="1"/>
    <xf numFmtId="9" fontId="4" fillId="0" borderId="0" xfId="0" applyNumberFormat="1" applyFont="1"/>
    <xf numFmtId="0" fontId="9" fillId="11" borderId="0" xfId="0" applyFont="1" applyFill="1"/>
    <xf numFmtId="9" fontId="4" fillId="0" borderId="0" xfId="1" applyFont="1"/>
    <xf numFmtId="0" fontId="9" fillId="12" borderId="0" xfId="0" applyFont="1" applyFill="1"/>
    <xf numFmtId="0" fontId="4" fillId="12" borderId="0" xfId="0" applyFont="1" applyFill="1"/>
    <xf numFmtId="9" fontId="4" fillId="12" borderId="0" xfId="0" applyNumberFormat="1" applyFont="1" applyFill="1"/>
    <xf numFmtId="0" fontId="0" fillId="12" borderId="0" xfId="0" applyFill="1"/>
    <xf numFmtId="164" fontId="4" fillId="12" borderId="0" xfId="2" applyNumberFormat="1" applyFont="1" applyFill="1"/>
    <xf numFmtId="164" fontId="4" fillId="12" borderId="0" xfId="0" applyNumberFormat="1" applyFont="1" applyFill="1"/>
    <xf numFmtId="0" fontId="9" fillId="13" borderId="0" xfId="0" applyFont="1" applyFill="1"/>
    <xf numFmtId="0" fontId="4" fillId="13" borderId="0" xfId="0" applyFont="1" applyFill="1"/>
    <xf numFmtId="164" fontId="4" fillId="13" borderId="0" xfId="2" applyNumberFormat="1" applyFont="1" applyFill="1"/>
    <xf numFmtId="0" fontId="4" fillId="0" borderId="0" xfId="0" applyFont="1" applyAlignment="1">
      <alignment horizontal="center"/>
    </xf>
    <xf numFmtId="1" fontId="4" fillId="0" borderId="0" xfId="0" applyNumberFormat="1" applyFont="1" applyAlignment="1">
      <alignment horizontal="left"/>
    </xf>
    <xf numFmtId="164" fontId="9" fillId="2" borderId="0" xfId="0" applyNumberFormat="1" applyFont="1" applyFill="1"/>
    <xf numFmtId="164" fontId="4" fillId="10" borderId="0" xfId="0" applyNumberFormat="1" applyFont="1" applyFill="1"/>
    <xf numFmtId="3" fontId="4" fillId="0" borderId="0" xfId="0" applyNumberFormat="1" applyFont="1"/>
    <xf numFmtId="10" fontId="4" fillId="0" borderId="0" xfId="1" applyNumberFormat="1" applyFont="1"/>
    <xf numFmtId="164" fontId="4" fillId="13" borderId="0" xfId="0" applyNumberFormat="1" applyFont="1" applyFill="1"/>
  </cellXfs>
  <cellStyles count="3">
    <cellStyle name="Comma" xfId="2" builtinId="3"/>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850081</xdr:colOff>
      <xdr:row>42</xdr:row>
      <xdr:rowOff>51209</xdr:rowOff>
    </xdr:from>
    <xdr:to>
      <xdr:col>14</xdr:col>
      <xdr:colOff>81935</xdr:colOff>
      <xdr:row>45</xdr:row>
      <xdr:rowOff>143386</xdr:rowOff>
    </xdr:to>
    <xdr:sp macro="" textlink="">
      <xdr:nvSpPr>
        <xdr:cNvPr id="2" name="Rectangle: Rounded Corners 1">
          <a:extLst>
            <a:ext uri="{FF2B5EF4-FFF2-40B4-BE49-F238E27FC236}">
              <a16:creationId xmlns:a16="http://schemas.microsoft.com/office/drawing/2014/main" id="{AC7D2CCB-4F07-31E1-1B01-88759CCBD180}"/>
            </a:ext>
          </a:extLst>
        </xdr:cNvPr>
        <xdr:cNvSpPr/>
      </xdr:nvSpPr>
      <xdr:spPr>
        <a:xfrm>
          <a:off x="850081" y="8050161"/>
          <a:ext cx="13201854" cy="6759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Look,</a:t>
          </a:r>
          <a:r>
            <a:rPr lang="en-IN" sz="1100" b="1" i="1" baseline="0"/>
            <a:t> what happens over here is that there are patients from January 2023, right but there are also other patients from previous years, there are also patients from previous stages, who may have jumped from stage I to stage IV or stage II to stage IV, so we have to take them also in account, Tumour size may have decreased or increased, 2mm or 2mm to 4 mm or 4mm to 6mm.</a:t>
          </a:r>
        </a:p>
        <a:p>
          <a:pPr algn="l"/>
          <a:r>
            <a:rPr lang="en-IN" sz="1100" b="1" i="1" baseline="0"/>
            <a:t>Till stage III, it will taken care by radiation therapy, chemo therapy but our main point of concern is stage IV patients who needs to be provided with drugs.</a:t>
          </a:r>
          <a:endParaRPr lang="en-IN" sz="1100" b="1"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2</xdr:row>
      <xdr:rowOff>146050</xdr:rowOff>
    </xdr:from>
    <xdr:to>
      <xdr:col>2</xdr:col>
      <xdr:colOff>12700</xdr:colOff>
      <xdr:row>5</xdr:row>
      <xdr:rowOff>0</xdr:rowOff>
    </xdr:to>
    <xdr:sp macro="" textlink="">
      <xdr:nvSpPr>
        <xdr:cNvPr id="2" name="Rectangle: Rounded Corners 1">
          <a:extLst>
            <a:ext uri="{FF2B5EF4-FFF2-40B4-BE49-F238E27FC236}">
              <a16:creationId xmlns:a16="http://schemas.microsoft.com/office/drawing/2014/main" id="{37562362-C074-A03C-9A3B-776C07C385CE}"/>
            </a:ext>
          </a:extLst>
        </xdr:cNvPr>
        <xdr:cNvSpPr/>
      </xdr:nvSpPr>
      <xdr:spPr>
        <a:xfrm>
          <a:off x="914400" y="514350"/>
          <a:ext cx="984250" cy="406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1</a:t>
          </a:r>
        </a:p>
      </xdr:txBody>
    </xdr:sp>
    <xdr:clientData/>
  </xdr:twoCellAnchor>
  <xdr:twoCellAnchor>
    <xdr:from>
      <xdr:col>2</xdr:col>
      <xdr:colOff>234950</xdr:colOff>
      <xdr:row>1</xdr:row>
      <xdr:rowOff>114300</xdr:rowOff>
    </xdr:from>
    <xdr:to>
      <xdr:col>15</xdr:col>
      <xdr:colOff>590550</xdr:colOff>
      <xdr:row>6</xdr:row>
      <xdr:rowOff>6350</xdr:rowOff>
    </xdr:to>
    <xdr:sp macro="" textlink="">
      <xdr:nvSpPr>
        <xdr:cNvPr id="3" name="Rectangle: Rounded Corners 2">
          <a:extLst>
            <a:ext uri="{FF2B5EF4-FFF2-40B4-BE49-F238E27FC236}">
              <a16:creationId xmlns:a16="http://schemas.microsoft.com/office/drawing/2014/main" id="{BE94F2B3-D5FD-EF24-796B-DCAA70BE4F65}"/>
            </a:ext>
          </a:extLst>
        </xdr:cNvPr>
        <xdr:cNvSpPr/>
      </xdr:nvSpPr>
      <xdr:spPr>
        <a:xfrm>
          <a:off x="2120900" y="298450"/>
          <a:ext cx="8750300" cy="8128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SYMPTOM PRESENTATION / SCREENING</a:t>
          </a:r>
        </a:p>
        <a:p>
          <a:r>
            <a:rPr lang="en-IN" b="1">
              <a:solidFill>
                <a:sysClr val="windowText" lastClr="000000"/>
              </a:solidFill>
            </a:rPr>
            <a:t>Patient notices symptoms</a:t>
          </a:r>
          <a:r>
            <a:rPr lang="en-IN">
              <a:solidFill>
                <a:sysClr val="windowText" lastClr="000000"/>
              </a:solidFill>
            </a:rPr>
            <a:t> (e.g., cough, lump, weight loss) OR is </a:t>
          </a:r>
          <a:r>
            <a:rPr lang="en-IN" b="1">
              <a:solidFill>
                <a:sysClr val="windowText" lastClr="000000"/>
              </a:solidFill>
            </a:rPr>
            <a:t>picked up in routine screening</a:t>
          </a:r>
          <a:r>
            <a:rPr lang="en-IN">
              <a:solidFill>
                <a:sysClr val="windowText" lastClr="000000"/>
              </a:solidFill>
            </a:rPr>
            <a:t> (e.g., mammogram, Pap smear, colonoscopy).</a:t>
          </a:r>
        </a:p>
        <a:p>
          <a:r>
            <a:rPr lang="en-IN">
              <a:solidFill>
                <a:sysClr val="windowText" lastClr="000000"/>
              </a:solidFill>
            </a:rPr>
            <a:t>They </a:t>
          </a:r>
          <a:r>
            <a:rPr lang="en-IN" b="1">
              <a:solidFill>
                <a:sysClr val="windowText" lastClr="000000"/>
              </a:solidFill>
            </a:rPr>
            <a:t>visit a primary care physician</a:t>
          </a:r>
          <a:r>
            <a:rPr lang="en-IN">
              <a:solidFill>
                <a:sysClr val="windowText" lastClr="000000"/>
              </a:solidFill>
            </a:rPr>
            <a:t> or </a:t>
          </a:r>
          <a:r>
            <a:rPr lang="en-IN" b="1">
              <a:solidFill>
                <a:sysClr val="windowText" lastClr="000000"/>
              </a:solidFill>
            </a:rPr>
            <a:t>general practitioner (GP)</a:t>
          </a:r>
          <a:r>
            <a:rPr lang="en-IN">
              <a:solidFill>
                <a:sysClr val="windowText" lastClr="000000"/>
              </a:solidFill>
            </a:rPr>
            <a:t>.</a:t>
          </a:r>
        </a:p>
        <a:p>
          <a:pPr algn="l"/>
          <a:endParaRPr lang="en-IN" sz="1100">
            <a:solidFill>
              <a:sysClr val="windowText" lastClr="000000"/>
            </a:solidFill>
          </a:endParaRPr>
        </a:p>
      </xdr:txBody>
    </xdr:sp>
    <xdr:clientData/>
  </xdr:twoCellAnchor>
  <xdr:twoCellAnchor>
    <xdr:from>
      <xdr:col>1</xdr:col>
      <xdr:colOff>120650</xdr:colOff>
      <xdr:row>10</xdr:row>
      <xdr:rowOff>12700</xdr:rowOff>
    </xdr:from>
    <xdr:to>
      <xdr:col>2</xdr:col>
      <xdr:colOff>19050</xdr:colOff>
      <xdr:row>12</xdr:row>
      <xdr:rowOff>50800</xdr:rowOff>
    </xdr:to>
    <xdr:sp macro="" textlink="">
      <xdr:nvSpPr>
        <xdr:cNvPr id="4" name="Rectangle: Rounded Corners 3">
          <a:extLst>
            <a:ext uri="{FF2B5EF4-FFF2-40B4-BE49-F238E27FC236}">
              <a16:creationId xmlns:a16="http://schemas.microsoft.com/office/drawing/2014/main" id="{D85DE12E-A30B-4B57-9523-FF10617B6F2B}"/>
            </a:ext>
          </a:extLst>
        </xdr:cNvPr>
        <xdr:cNvSpPr/>
      </xdr:nvSpPr>
      <xdr:spPr>
        <a:xfrm>
          <a:off x="920750" y="1854200"/>
          <a:ext cx="984250" cy="406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2</a:t>
          </a:r>
        </a:p>
      </xdr:txBody>
    </xdr:sp>
    <xdr:clientData/>
  </xdr:twoCellAnchor>
  <xdr:twoCellAnchor>
    <xdr:from>
      <xdr:col>2</xdr:col>
      <xdr:colOff>277586</xdr:colOff>
      <xdr:row>7</xdr:row>
      <xdr:rowOff>123371</xdr:rowOff>
    </xdr:from>
    <xdr:to>
      <xdr:col>10</xdr:col>
      <xdr:colOff>144236</xdr:colOff>
      <xdr:row>14</xdr:row>
      <xdr:rowOff>97971</xdr:rowOff>
    </xdr:to>
    <xdr:sp macro="" textlink="">
      <xdr:nvSpPr>
        <xdr:cNvPr id="5" name="Rectangle: Rounded Corners 4">
          <a:extLst>
            <a:ext uri="{FF2B5EF4-FFF2-40B4-BE49-F238E27FC236}">
              <a16:creationId xmlns:a16="http://schemas.microsoft.com/office/drawing/2014/main" id="{5206FEDB-ED74-4684-9A70-287E66528EEF}"/>
            </a:ext>
          </a:extLst>
        </xdr:cNvPr>
        <xdr:cNvSpPr/>
      </xdr:nvSpPr>
      <xdr:spPr>
        <a:xfrm>
          <a:off x="2164443" y="1393371"/>
          <a:ext cx="5200650" cy="12446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rPr>
            <a:t>DIAGNOSTIC TESTING</a:t>
          </a:r>
        </a:p>
        <a:p>
          <a:r>
            <a:rPr lang="en-IN" b="1">
              <a:solidFill>
                <a:schemeClr val="tx1"/>
              </a:solidFill>
            </a:rPr>
            <a:t>Physical exam</a:t>
          </a:r>
          <a:r>
            <a:rPr lang="en-IN">
              <a:solidFill>
                <a:schemeClr val="tx1"/>
              </a:solidFill>
            </a:rPr>
            <a:t> and detailed </a:t>
          </a:r>
          <a:r>
            <a:rPr lang="en-IN" b="1">
              <a:solidFill>
                <a:schemeClr val="tx1"/>
              </a:solidFill>
            </a:rPr>
            <a:t>medical history</a:t>
          </a:r>
          <a:r>
            <a:rPr lang="en-IN">
              <a:solidFill>
                <a:schemeClr val="tx1"/>
              </a:solidFill>
            </a:rPr>
            <a:t> taken.</a:t>
          </a:r>
        </a:p>
        <a:p>
          <a:r>
            <a:rPr lang="en-IN">
              <a:solidFill>
                <a:schemeClr val="tx1"/>
              </a:solidFill>
            </a:rPr>
            <a:t>Doctor orders:</a:t>
          </a:r>
        </a:p>
        <a:p>
          <a:r>
            <a:rPr lang="en-IN" b="1">
              <a:solidFill>
                <a:schemeClr val="tx1"/>
              </a:solidFill>
            </a:rPr>
            <a:t>Imaging</a:t>
          </a:r>
          <a:r>
            <a:rPr lang="en-IN">
              <a:solidFill>
                <a:schemeClr val="tx1"/>
              </a:solidFill>
            </a:rPr>
            <a:t>: CT, MRI, PET, X-ray, or ultrasound.</a:t>
          </a:r>
        </a:p>
        <a:p>
          <a:r>
            <a:rPr lang="en-IN" b="1">
              <a:solidFill>
                <a:schemeClr val="tx1"/>
              </a:solidFill>
            </a:rPr>
            <a:t>Lab tests</a:t>
          </a:r>
          <a:r>
            <a:rPr lang="en-IN">
              <a:solidFill>
                <a:schemeClr val="tx1"/>
              </a:solidFill>
            </a:rPr>
            <a:t>: Blood tests (e.g., tumor markers like PSA, CEA).</a:t>
          </a:r>
        </a:p>
        <a:p>
          <a:r>
            <a:rPr lang="en-IN" b="1">
              <a:solidFill>
                <a:schemeClr val="tx1"/>
              </a:solidFill>
            </a:rPr>
            <a:t>Biopsy</a:t>
          </a:r>
          <a:r>
            <a:rPr lang="en-IN">
              <a:solidFill>
                <a:schemeClr val="tx1"/>
              </a:solidFill>
            </a:rPr>
            <a:t>: Tissue sample taken from suspected site for </a:t>
          </a:r>
          <a:r>
            <a:rPr lang="en-IN" b="1">
              <a:solidFill>
                <a:schemeClr val="tx1"/>
              </a:solidFill>
            </a:rPr>
            <a:t>pathological confirmation</a:t>
          </a:r>
          <a:r>
            <a:rPr lang="en-IN">
              <a:solidFill>
                <a:schemeClr val="tx1"/>
              </a:solidFill>
            </a:rPr>
            <a:t>.</a:t>
          </a:r>
        </a:p>
        <a:p>
          <a:pPr algn="l"/>
          <a:endParaRPr lang="en-IN" sz="1100">
            <a:solidFill>
              <a:sysClr val="windowText" lastClr="000000"/>
            </a:solidFill>
          </a:endParaRPr>
        </a:p>
      </xdr:txBody>
    </xdr:sp>
    <xdr:clientData/>
  </xdr:twoCellAnchor>
  <xdr:twoCellAnchor>
    <xdr:from>
      <xdr:col>1</xdr:col>
      <xdr:colOff>514350</xdr:colOff>
      <xdr:row>5</xdr:row>
      <xdr:rowOff>50800</xdr:rowOff>
    </xdr:from>
    <xdr:to>
      <xdr:col>1</xdr:col>
      <xdr:colOff>711200</xdr:colOff>
      <xdr:row>9</xdr:row>
      <xdr:rowOff>114300</xdr:rowOff>
    </xdr:to>
    <xdr:sp macro="" textlink="">
      <xdr:nvSpPr>
        <xdr:cNvPr id="6" name="Arrow: Down 5">
          <a:extLst>
            <a:ext uri="{FF2B5EF4-FFF2-40B4-BE49-F238E27FC236}">
              <a16:creationId xmlns:a16="http://schemas.microsoft.com/office/drawing/2014/main" id="{8E9DD8B1-9DB8-2117-B359-7F265625250A}"/>
            </a:ext>
          </a:extLst>
        </xdr:cNvPr>
        <xdr:cNvSpPr/>
      </xdr:nvSpPr>
      <xdr:spPr>
        <a:xfrm>
          <a:off x="1314450" y="971550"/>
          <a:ext cx="196850" cy="800100"/>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21</xdr:row>
      <xdr:rowOff>82550</xdr:rowOff>
    </xdr:from>
    <xdr:to>
      <xdr:col>2</xdr:col>
      <xdr:colOff>12700</xdr:colOff>
      <xdr:row>23</xdr:row>
      <xdr:rowOff>120650</xdr:rowOff>
    </xdr:to>
    <xdr:sp macro="" textlink="">
      <xdr:nvSpPr>
        <xdr:cNvPr id="7" name="Rectangle: Rounded Corners 6">
          <a:extLst>
            <a:ext uri="{FF2B5EF4-FFF2-40B4-BE49-F238E27FC236}">
              <a16:creationId xmlns:a16="http://schemas.microsoft.com/office/drawing/2014/main" id="{E71AAE8A-E088-4032-B21B-2C0EC9A4C7E1}"/>
            </a:ext>
          </a:extLst>
        </xdr:cNvPr>
        <xdr:cNvSpPr/>
      </xdr:nvSpPr>
      <xdr:spPr>
        <a:xfrm>
          <a:off x="914400" y="3949700"/>
          <a:ext cx="984250" cy="406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3</a:t>
          </a:r>
        </a:p>
      </xdr:txBody>
    </xdr:sp>
    <xdr:clientData/>
  </xdr:twoCellAnchor>
  <xdr:twoCellAnchor>
    <xdr:from>
      <xdr:col>2</xdr:col>
      <xdr:colOff>247650</xdr:colOff>
      <xdr:row>16</xdr:row>
      <xdr:rowOff>88900</xdr:rowOff>
    </xdr:from>
    <xdr:to>
      <xdr:col>14</xdr:col>
      <xdr:colOff>539750</xdr:colOff>
      <xdr:row>27</xdr:row>
      <xdr:rowOff>133350</xdr:rowOff>
    </xdr:to>
    <xdr:sp macro="" textlink="">
      <xdr:nvSpPr>
        <xdr:cNvPr id="8" name="Rectangle: Rounded Corners 7">
          <a:extLst>
            <a:ext uri="{FF2B5EF4-FFF2-40B4-BE49-F238E27FC236}">
              <a16:creationId xmlns:a16="http://schemas.microsoft.com/office/drawing/2014/main" id="{EE027D01-A7F7-4F38-841F-37C422A311B8}"/>
            </a:ext>
          </a:extLst>
        </xdr:cNvPr>
        <xdr:cNvSpPr/>
      </xdr:nvSpPr>
      <xdr:spPr>
        <a:xfrm>
          <a:off x="2133600" y="3035300"/>
          <a:ext cx="8077200" cy="20701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rPr>
            <a:t>CANCER CONFIRMATION &amp; STAGING</a:t>
          </a:r>
        </a:p>
        <a:p>
          <a:r>
            <a:rPr lang="en-IN" b="1">
              <a:solidFill>
                <a:schemeClr val="tx1"/>
              </a:solidFill>
            </a:rPr>
            <a:t>Pathologist confirms</a:t>
          </a:r>
          <a:r>
            <a:rPr lang="en-IN">
              <a:solidFill>
                <a:schemeClr val="tx1"/>
              </a:solidFill>
            </a:rPr>
            <a:t> whether tissue is cancerous.</a:t>
          </a:r>
        </a:p>
        <a:p>
          <a:r>
            <a:rPr lang="en-IN">
              <a:solidFill>
                <a:schemeClr val="tx1"/>
              </a:solidFill>
            </a:rPr>
            <a:t>Tumor is then </a:t>
          </a:r>
          <a:r>
            <a:rPr lang="en-IN" b="1">
              <a:solidFill>
                <a:schemeClr val="tx1"/>
              </a:solidFill>
            </a:rPr>
            <a:t>staged</a:t>
          </a:r>
          <a:r>
            <a:rPr lang="en-IN">
              <a:solidFill>
                <a:schemeClr val="tx1"/>
              </a:solidFill>
            </a:rPr>
            <a:t>:</a:t>
          </a:r>
        </a:p>
        <a:p>
          <a:pPr lvl="1"/>
          <a:r>
            <a:rPr lang="en-IN" b="1">
              <a:solidFill>
                <a:schemeClr val="tx1"/>
              </a:solidFill>
            </a:rPr>
            <a:t>TNM system</a:t>
          </a:r>
          <a:r>
            <a:rPr lang="en-IN">
              <a:solidFill>
                <a:schemeClr val="tx1"/>
              </a:solidFill>
            </a:rPr>
            <a:t>: Tumor size (T), Node involvement (N), Metastasis (M).</a:t>
          </a:r>
        </a:p>
        <a:p>
          <a:pPr lvl="1"/>
          <a:r>
            <a:rPr lang="en-IN">
              <a:solidFill>
                <a:schemeClr val="tx1"/>
              </a:solidFill>
            </a:rPr>
            <a:t>Stage I to IV:</a:t>
          </a:r>
        </a:p>
        <a:p>
          <a:pPr lvl="2"/>
          <a:r>
            <a:rPr lang="en-IN">
              <a:solidFill>
                <a:schemeClr val="tx1"/>
              </a:solidFill>
            </a:rPr>
            <a:t>I: Localized</a:t>
          </a:r>
        </a:p>
        <a:p>
          <a:pPr lvl="2"/>
          <a:r>
            <a:rPr lang="en-IN">
              <a:solidFill>
                <a:schemeClr val="tx1"/>
              </a:solidFill>
            </a:rPr>
            <a:t>II–III: Regional spread</a:t>
          </a:r>
        </a:p>
        <a:p>
          <a:pPr lvl="2"/>
          <a:r>
            <a:rPr lang="en-IN">
              <a:solidFill>
                <a:schemeClr val="tx1"/>
              </a:solidFill>
            </a:rPr>
            <a:t>IV: Metastatic (advanced)</a:t>
          </a:r>
        </a:p>
        <a:p>
          <a:r>
            <a:rPr lang="en-IN" b="1">
              <a:solidFill>
                <a:schemeClr val="tx1"/>
              </a:solidFill>
            </a:rPr>
            <a:t>Biomarker &amp; genetic testing</a:t>
          </a:r>
          <a:r>
            <a:rPr lang="en-IN">
              <a:solidFill>
                <a:schemeClr val="tx1"/>
              </a:solidFill>
            </a:rPr>
            <a:t> done (especially in solid tumors like lung, breast, colon) to guide targeted or immunotherapy options.</a:t>
          </a:r>
        </a:p>
        <a:p>
          <a:pPr lvl="1"/>
          <a:r>
            <a:rPr lang="en-IN">
              <a:solidFill>
                <a:schemeClr val="tx1"/>
              </a:solidFill>
            </a:rPr>
            <a:t>EGFR, ALK, PD-L1, HER2, KRAS, etc.</a:t>
          </a:r>
        </a:p>
        <a:p>
          <a:pPr algn="l"/>
          <a:endParaRPr lang="en-IN" sz="1100">
            <a:solidFill>
              <a:sysClr val="windowText" lastClr="000000"/>
            </a:solidFill>
          </a:endParaRPr>
        </a:p>
      </xdr:txBody>
    </xdr:sp>
    <xdr:clientData/>
  </xdr:twoCellAnchor>
  <xdr:twoCellAnchor>
    <xdr:from>
      <xdr:col>1</xdr:col>
      <xdr:colOff>518583</xdr:colOff>
      <xdr:row>12</xdr:row>
      <xdr:rowOff>152399</xdr:rowOff>
    </xdr:from>
    <xdr:to>
      <xdr:col>1</xdr:col>
      <xdr:colOff>709084</xdr:colOff>
      <xdr:row>20</xdr:row>
      <xdr:rowOff>158749</xdr:rowOff>
    </xdr:to>
    <xdr:sp macro="" textlink="">
      <xdr:nvSpPr>
        <xdr:cNvPr id="9" name="Arrow: Down 8">
          <a:extLst>
            <a:ext uri="{FF2B5EF4-FFF2-40B4-BE49-F238E27FC236}">
              <a16:creationId xmlns:a16="http://schemas.microsoft.com/office/drawing/2014/main" id="{1BC3B31F-A60F-4365-8430-26FC5EADB95E}"/>
            </a:ext>
          </a:extLst>
        </xdr:cNvPr>
        <xdr:cNvSpPr/>
      </xdr:nvSpPr>
      <xdr:spPr>
        <a:xfrm>
          <a:off x="1322916" y="2311399"/>
          <a:ext cx="190501" cy="1445683"/>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97971</xdr:colOff>
      <xdr:row>33</xdr:row>
      <xdr:rowOff>175986</xdr:rowOff>
    </xdr:from>
    <xdr:to>
      <xdr:col>1</xdr:col>
      <xdr:colOff>1084942</xdr:colOff>
      <xdr:row>36</xdr:row>
      <xdr:rowOff>32657</xdr:rowOff>
    </xdr:to>
    <xdr:sp macro="" textlink="">
      <xdr:nvSpPr>
        <xdr:cNvPr id="10" name="Rectangle: Rounded Corners 9">
          <a:extLst>
            <a:ext uri="{FF2B5EF4-FFF2-40B4-BE49-F238E27FC236}">
              <a16:creationId xmlns:a16="http://schemas.microsoft.com/office/drawing/2014/main" id="{83B6775B-B3CC-4AFD-B4C0-CB0C99595A69}"/>
            </a:ext>
          </a:extLst>
        </xdr:cNvPr>
        <xdr:cNvSpPr/>
      </xdr:nvSpPr>
      <xdr:spPr>
        <a:xfrm>
          <a:off x="896257" y="6163129"/>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4</a:t>
          </a:r>
        </a:p>
      </xdr:txBody>
    </xdr:sp>
    <xdr:clientData/>
  </xdr:twoCellAnchor>
  <xdr:twoCellAnchor>
    <xdr:from>
      <xdr:col>2</xdr:col>
      <xdr:colOff>237673</xdr:colOff>
      <xdr:row>30</xdr:row>
      <xdr:rowOff>23586</xdr:rowOff>
    </xdr:from>
    <xdr:to>
      <xdr:col>13</xdr:col>
      <xdr:colOff>108858</xdr:colOff>
      <xdr:row>40</xdr:row>
      <xdr:rowOff>81643</xdr:rowOff>
    </xdr:to>
    <xdr:sp macro="" textlink="">
      <xdr:nvSpPr>
        <xdr:cNvPr id="11" name="Rectangle: Rounded Corners 10">
          <a:extLst>
            <a:ext uri="{FF2B5EF4-FFF2-40B4-BE49-F238E27FC236}">
              <a16:creationId xmlns:a16="http://schemas.microsoft.com/office/drawing/2014/main" id="{77A43CBC-8D35-4884-94B0-0308C9E02A49}"/>
            </a:ext>
          </a:extLst>
        </xdr:cNvPr>
        <xdr:cNvSpPr/>
      </xdr:nvSpPr>
      <xdr:spPr>
        <a:xfrm>
          <a:off x="2124530" y="5466443"/>
          <a:ext cx="7028542" cy="187234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MULTIDISCIPLINARY TEAM (MDT) MEETING</a:t>
          </a:r>
        </a:p>
        <a:p>
          <a:r>
            <a:rPr lang="en-IN">
              <a:solidFill>
                <a:schemeClr val="tx1"/>
              </a:solidFill>
            </a:rPr>
            <a:t>A </a:t>
          </a:r>
          <a:r>
            <a:rPr lang="en-IN" b="1">
              <a:solidFill>
                <a:schemeClr val="tx1"/>
              </a:solidFill>
            </a:rPr>
            <a:t>tumor board</a:t>
          </a:r>
          <a:r>
            <a:rPr lang="en-IN">
              <a:solidFill>
                <a:schemeClr val="tx1"/>
              </a:solidFill>
            </a:rPr>
            <a:t> or </a:t>
          </a:r>
          <a:r>
            <a:rPr lang="en-IN" b="1">
              <a:solidFill>
                <a:schemeClr val="tx1"/>
              </a:solidFill>
            </a:rPr>
            <a:t>MDT</a:t>
          </a:r>
          <a:r>
            <a:rPr lang="en-IN">
              <a:solidFill>
                <a:schemeClr val="tx1"/>
              </a:solidFill>
            </a:rPr>
            <a:t> (oncologist, radiologist, surgeon, pathologist, nurse, etc.) meets to </a:t>
          </a:r>
          <a:r>
            <a:rPr lang="en-IN" b="1">
              <a:solidFill>
                <a:schemeClr val="tx1"/>
              </a:solidFill>
            </a:rPr>
            <a:t>devise a treatment plan</a:t>
          </a:r>
          <a:r>
            <a:rPr lang="en-IN">
              <a:solidFill>
                <a:schemeClr val="tx1"/>
              </a:solidFill>
            </a:rPr>
            <a:t>.</a:t>
          </a:r>
        </a:p>
        <a:p>
          <a:r>
            <a:rPr lang="en-IN">
              <a:solidFill>
                <a:schemeClr val="tx1"/>
              </a:solidFill>
            </a:rPr>
            <a:t>Plan may include:</a:t>
          </a:r>
        </a:p>
        <a:p>
          <a:r>
            <a:rPr lang="en-IN" b="1">
              <a:solidFill>
                <a:schemeClr val="tx1"/>
              </a:solidFill>
            </a:rPr>
            <a:t>Surgery</a:t>
          </a:r>
          <a:endParaRPr lang="en-IN">
            <a:solidFill>
              <a:schemeClr val="tx1"/>
            </a:solidFill>
          </a:endParaRPr>
        </a:p>
        <a:p>
          <a:r>
            <a:rPr lang="en-IN" b="1">
              <a:solidFill>
                <a:schemeClr val="tx1"/>
              </a:solidFill>
            </a:rPr>
            <a:t>Radiation</a:t>
          </a:r>
          <a:endParaRPr lang="en-IN">
            <a:solidFill>
              <a:schemeClr val="tx1"/>
            </a:solidFill>
          </a:endParaRPr>
        </a:p>
        <a:p>
          <a:r>
            <a:rPr lang="en-IN" b="1">
              <a:solidFill>
                <a:schemeClr val="tx1"/>
              </a:solidFill>
            </a:rPr>
            <a:t>Chemotherapy</a:t>
          </a:r>
          <a:endParaRPr lang="en-IN">
            <a:solidFill>
              <a:schemeClr val="tx1"/>
            </a:solidFill>
          </a:endParaRPr>
        </a:p>
        <a:p>
          <a:r>
            <a:rPr lang="en-IN" b="1">
              <a:solidFill>
                <a:schemeClr val="tx1"/>
              </a:solidFill>
            </a:rPr>
            <a:t>Targeted therapy</a:t>
          </a:r>
          <a:endParaRPr lang="en-IN">
            <a:solidFill>
              <a:schemeClr val="tx1"/>
            </a:solidFill>
          </a:endParaRPr>
        </a:p>
        <a:p>
          <a:r>
            <a:rPr lang="en-IN" b="1">
              <a:solidFill>
                <a:schemeClr val="tx1"/>
              </a:solidFill>
            </a:rPr>
            <a:t>Immunotherapy</a:t>
          </a:r>
          <a:endParaRPr lang="en-IN">
            <a:solidFill>
              <a:schemeClr val="tx1"/>
            </a:solidFill>
          </a:endParaRPr>
        </a:p>
        <a:p>
          <a:r>
            <a:rPr lang="en-IN" b="1">
              <a:solidFill>
                <a:schemeClr val="tx1"/>
              </a:solidFill>
            </a:rPr>
            <a:t>Hormonal therapy</a:t>
          </a:r>
          <a:endParaRPr lang="en-IN">
            <a:solidFill>
              <a:schemeClr val="tx1"/>
            </a:solidFill>
          </a:endParaRPr>
        </a:p>
        <a:p>
          <a:pPr algn="l"/>
          <a:endParaRPr lang="en-IN" sz="1100">
            <a:solidFill>
              <a:sysClr val="windowText" lastClr="000000"/>
            </a:solidFill>
          </a:endParaRPr>
        </a:p>
      </xdr:txBody>
    </xdr:sp>
    <xdr:clientData/>
  </xdr:twoCellAnchor>
  <xdr:twoCellAnchor>
    <xdr:from>
      <xdr:col>1</xdr:col>
      <xdr:colOff>524630</xdr:colOff>
      <xdr:row>24</xdr:row>
      <xdr:rowOff>16328</xdr:rowOff>
    </xdr:from>
    <xdr:to>
      <xdr:col>1</xdr:col>
      <xdr:colOff>707571</xdr:colOff>
      <xdr:row>33</xdr:row>
      <xdr:rowOff>45357</xdr:rowOff>
    </xdr:to>
    <xdr:sp macro="" textlink="">
      <xdr:nvSpPr>
        <xdr:cNvPr id="12" name="Arrow: Down 11">
          <a:extLst>
            <a:ext uri="{FF2B5EF4-FFF2-40B4-BE49-F238E27FC236}">
              <a16:creationId xmlns:a16="http://schemas.microsoft.com/office/drawing/2014/main" id="{8369E3D6-3938-4FEE-BBDC-645A2BEC476B}"/>
            </a:ext>
          </a:extLst>
        </xdr:cNvPr>
        <xdr:cNvSpPr/>
      </xdr:nvSpPr>
      <xdr:spPr>
        <a:xfrm>
          <a:off x="1322916" y="4370614"/>
          <a:ext cx="182941" cy="1661886"/>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199573</xdr:colOff>
      <xdr:row>42</xdr:row>
      <xdr:rowOff>76200</xdr:rowOff>
    </xdr:from>
    <xdr:to>
      <xdr:col>7</xdr:col>
      <xdr:colOff>716643</xdr:colOff>
      <xdr:row>49</xdr:row>
      <xdr:rowOff>72571</xdr:rowOff>
    </xdr:to>
    <xdr:sp macro="" textlink="">
      <xdr:nvSpPr>
        <xdr:cNvPr id="13" name="Rectangle: Rounded Corners 12">
          <a:extLst>
            <a:ext uri="{FF2B5EF4-FFF2-40B4-BE49-F238E27FC236}">
              <a16:creationId xmlns:a16="http://schemas.microsoft.com/office/drawing/2014/main" id="{CC399BF0-0CCE-46A1-93EF-194FFF6F3CFE}"/>
            </a:ext>
          </a:extLst>
        </xdr:cNvPr>
        <xdr:cNvSpPr/>
      </xdr:nvSpPr>
      <xdr:spPr>
        <a:xfrm>
          <a:off x="2086430" y="7696200"/>
          <a:ext cx="3819070" cy="126637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Initiation of Treatment</a:t>
          </a:r>
          <a:endParaRPr lang="en-IN">
            <a:solidFill>
              <a:schemeClr val="tx1"/>
            </a:solidFill>
          </a:endParaRPr>
        </a:p>
        <a:p>
          <a:r>
            <a:rPr lang="en-IN">
              <a:solidFill>
                <a:schemeClr val="tx1"/>
              </a:solidFill>
            </a:rPr>
            <a:t>Options vary depending on cancer type, location, and stage:</a:t>
          </a:r>
        </a:p>
        <a:p>
          <a:r>
            <a:rPr lang="en-IN">
              <a:solidFill>
                <a:schemeClr val="tx1"/>
              </a:solidFill>
            </a:rPr>
            <a:t>Surgery-first approach</a:t>
          </a:r>
        </a:p>
        <a:p>
          <a:r>
            <a:rPr lang="en-IN">
              <a:solidFill>
                <a:schemeClr val="tx1"/>
              </a:solidFill>
            </a:rPr>
            <a:t>Neoadjuvant therapy before surgery</a:t>
          </a:r>
        </a:p>
        <a:p>
          <a:r>
            <a:rPr lang="en-IN">
              <a:solidFill>
                <a:schemeClr val="tx1"/>
              </a:solidFill>
            </a:rPr>
            <a:t>Systemic therapy for advanced cases</a:t>
          </a:r>
        </a:p>
        <a:p>
          <a:r>
            <a:rPr lang="en-IN">
              <a:solidFill>
                <a:schemeClr val="tx1"/>
              </a:solidFill>
            </a:rPr>
            <a:t>Radiation therapy</a:t>
          </a:r>
        </a:p>
        <a:p>
          <a:pPr algn="l"/>
          <a:endParaRPr lang="en-IN" sz="1100">
            <a:solidFill>
              <a:sysClr val="windowText" lastClr="000000"/>
            </a:solidFill>
          </a:endParaRPr>
        </a:p>
      </xdr:txBody>
    </xdr:sp>
    <xdr:clientData/>
  </xdr:twoCellAnchor>
  <xdr:twoCellAnchor>
    <xdr:from>
      <xdr:col>2</xdr:col>
      <xdr:colOff>197758</xdr:colOff>
      <xdr:row>51</xdr:row>
      <xdr:rowOff>92530</xdr:rowOff>
    </xdr:from>
    <xdr:to>
      <xdr:col>7</xdr:col>
      <xdr:colOff>190500</xdr:colOff>
      <xdr:row>56</xdr:row>
      <xdr:rowOff>45357</xdr:rowOff>
    </xdr:to>
    <xdr:sp macro="" textlink="">
      <xdr:nvSpPr>
        <xdr:cNvPr id="14" name="Rectangle: Rounded Corners 13">
          <a:extLst>
            <a:ext uri="{FF2B5EF4-FFF2-40B4-BE49-F238E27FC236}">
              <a16:creationId xmlns:a16="http://schemas.microsoft.com/office/drawing/2014/main" id="{EC6EBC82-5925-49B2-85ED-C3D933ECE67E}"/>
            </a:ext>
          </a:extLst>
        </xdr:cNvPr>
        <xdr:cNvSpPr/>
      </xdr:nvSpPr>
      <xdr:spPr>
        <a:xfrm>
          <a:off x="2084615" y="9345387"/>
          <a:ext cx="3294742" cy="85997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Monitoring During Treatment</a:t>
          </a:r>
          <a:endParaRPr lang="en-IN">
            <a:solidFill>
              <a:schemeClr val="tx1"/>
            </a:solidFill>
          </a:endParaRPr>
        </a:p>
        <a:p>
          <a:r>
            <a:rPr lang="en-IN">
              <a:solidFill>
                <a:schemeClr val="tx1"/>
              </a:solidFill>
            </a:rPr>
            <a:t>Assess tumor response through imaging and labs</a:t>
          </a:r>
        </a:p>
        <a:p>
          <a:r>
            <a:rPr lang="en-IN">
              <a:solidFill>
                <a:schemeClr val="tx1"/>
              </a:solidFill>
            </a:rPr>
            <a:t>Manage side effects (nausea, fatigue, neuropathy)</a:t>
          </a:r>
        </a:p>
        <a:p>
          <a:r>
            <a:rPr lang="en-IN">
              <a:solidFill>
                <a:schemeClr val="tx1"/>
              </a:solidFill>
            </a:rPr>
            <a:t>Adjust treatment plan as needed</a:t>
          </a:r>
        </a:p>
        <a:p>
          <a:pPr algn="l"/>
          <a:endParaRPr lang="en-IN" sz="1100">
            <a:solidFill>
              <a:sysClr val="windowText" lastClr="000000"/>
            </a:solidFill>
          </a:endParaRPr>
        </a:p>
      </xdr:txBody>
    </xdr:sp>
    <xdr:clientData/>
  </xdr:twoCellAnchor>
  <xdr:twoCellAnchor>
    <xdr:from>
      <xdr:col>1</xdr:col>
      <xdr:colOff>132442</xdr:colOff>
      <xdr:row>44</xdr:row>
      <xdr:rowOff>29029</xdr:rowOff>
    </xdr:from>
    <xdr:to>
      <xdr:col>2</xdr:col>
      <xdr:colOff>30842</xdr:colOff>
      <xdr:row>46</xdr:row>
      <xdr:rowOff>67129</xdr:rowOff>
    </xdr:to>
    <xdr:sp macro="" textlink="">
      <xdr:nvSpPr>
        <xdr:cNvPr id="15" name="Rectangle: Rounded Corners 14">
          <a:extLst>
            <a:ext uri="{FF2B5EF4-FFF2-40B4-BE49-F238E27FC236}">
              <a16:creationId xmlns:a16="http://schemas.microsoft.com/office/drawing/2014/main" id="{CD61FED2-88DA-433F-BD52-64E65BDB3987}"/>
            </a:ext>
          </a:extLst>
        </xdr:cNvPr>
        <xdr:cNvSpPr/>
      </xdr:nvSpPr>
      <xdr:spPr>
        <a:xfrm>
          <a:off x="930728" y="8011886"/>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5</a:t>
          </a:r>
        </a:p>
      </xdr:txBody>
    </xdr:sp>
    <xdr:clientData/>
  </xdr:twoCellAnchor>
  <xdr:twoCellAnchor>
    <xdr:from>
      <xdr:col>1</xdr:col>
      <xdr:colOff>130628</xdr:colOff>
      <xdr:row>52</xdr:row>
      <xdr:rowOff>163286</xdr:rowOff>
    </xdr:from>
    <xdr:to>
      <xdr:col>2</xdr:col>
      <xdr:colOff>29028</xdr:colOff>
      <xdr:row>55</xdr:row>
      <xdr:rowOff>19958</xdr:rowOff>
    </xdr:to>
    <xdr:sp macro="" textlink="">
      <xdr:nvSpPr>
        <xdr:cNvPr id="16" name="Rectangle: Rounded Corners 15">
          <a:extLst>
            <a:ext uri="{FF2B5EF4-FFF2-40B4-BE49-F238E27FC236}">
              <a16:creationId xmlns:a16="http://schemas.microsoft.com/office/drawing/2014/main" id="{B785AC70-E679-4936-868E-1130C37279A3}"/>
            </a:ext>
          </a:extLst>
        </xdr:cNvPr>
        <xdr:cNvSpPr/>
      </xdr:nvSpPr>
      <xdr:spPr>
        <a:xfrm>
          <a:off x="928914" y="9597572"/>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6</a:t>
          </a:r>
        </a:p>
      </xdr:txBody>
    </xdr:sp>
    <xdr:clientData/>
  </xdr:twoCellAnchor>
  <xdr:twoCellAnchor>
    <xdr:from>
      <xdr:col>1</xdr:col>
      <xdr:colOff>544285</xdr:colOff>
      <xdr:row>36</xdr:row>
      <xdr:rowOff>96156</xdr:rowOff>
    </xdr:from>
    <xdr:to>
      <xdr:col>1</xdr:col>
      <xdr:colOff>714829</xdr:colOff>
      <xdr:row>43</xdr:row>
      <xdr:rowOff>145142</xdr:rowOff>
    </xdr:to>
    <xdr:sp macro="" textlink="">
      <xdr:nvSpPr>
        <xdr:cNvPr id="17" name="Arrow: Down 16">
          <a:extLst>
            <a:ext uri="{FF2B5EF4-FFF2-40B4-BE49-F238E27FC236}">
              <a16:creationId xmlns:a16="http://schemas.microsoft.com/office/drawing/2014/main" id="{40EE72CC-75BC-48F1-9828-70D0718E0223}"/>
            </a:ext>
          </a:extLst>
        </xdr:cNvPr>
        <xdr:cNvSpPr/>
      </xdr:nvSpPr>
      <xdr:spPr>
        <a:xfrm>
          <a:off x="1342571" y="6627585"/>
          <a:ext cx="170544" cy="1318986"/>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551543</xdr:colOff>
      <xdr:row>46</xdr:row>
      <xdr:rowOff>130628</xdr:rowOff>
    </xdr:from>
    <xdr:to>
      <xdr:col>1</xdr:col>
      <xdr:colOff>743857</xdr:colOff>
      <xdr:row>52</xdr:row>
      <xdr:rowOff>127000</xdr:rowOff>
    </xdr:to>
    <xdr:sp macro="" textlink="">
      <xdr:nvSpPr>
        <xdr:cNvPr id="18" name="Arrow: Down 17">
          <a:extLst>
            <a:ext uri="{FF2B5EF4-FFF2-40B4-BE49-F238E27FC236}">
              <a16:creationId xmlns:a16="http://schemas.microsoft.com/office/drawing/2014/main" id="{56B7B57C-7544-4DE8-A873-A09EC32C35A8}"/>
            </a:ext>
          </a:extLst>
        </xdr:cNvPr>
        <xdr:cNvSpPr/>
      </xdr:nvSpPr>
      <xdr:spPr>
        <a:xfrm>
          <a:off x="1349829" y="8476342"/>
          <a:ext cx="192314" cy="1084944"/>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223157</xdr:colOff>
      <xdr:row>57</xdr:row>
      <xdr:rowOff>172357</xdr:rowOff>
    </xdr:from>
    <xdr:to>
      <xdr:col>7</xdr:col>
      <xdr:colOff>163286</xdr:colOff>
      <xdr:row>64</xdr:row>
      <xdr:rowOff>145142</xdr:rowOff>
    </xdr:to>
    <xdr:sp macro="" textlink="">
      <xdr:nvSpPr>
        <xdr:cNvPr id="19" name="Rectangle: Rounded Corners 18">
          <a:extLst>
            <a:ext uri="{FF2B5EF4-FFF2-40B4-BE49-F238E27FC236}">
              <a16:creationId xmlns:a16="http://schemas.microsoft.com/office/drawing/2014/main" id="{6985D8DF-A187-4393-AA21-CD7146A7C06A}"/>
            </a:ext>
          </a:extLst>
        </xdr:cNvPr>
        <xdr:cNvSpPr/>
      </xdr:nvSpPr>
      <xdr:spPr>
        <a:xfrm>
          <a:off x="2110014" y="10513786"/>
          <a:ext cx="3242129" cy="124278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Completion of Primary Treatment</a:t>
          </a:r>
          <a:endParaRPr lang="en-IN">
            <a:solidFill>
              <a:schemeClr val="tx1"/>
            </a:solidFill>
          </a:endParaRPr>
        </a:p>
        <a:p>
          <a:r>
            <a:rPr lang="en-IN">
              <a:solidFill>
                <a:schemeClr val="tx1"/>
              </a:solidFill>
            </a:rPr>
            <a:t>Post-treatment imaging to assess response:</a:t>
          </a:r>
        </a:p>
        <a:p>
          <a:r>
            <a:rPr lang="en-IN">
              <a:solidFill>
                <a:schemeClr val="tx1"/>
              </a:solidFill>
            </a:rPr>
            <a:t>Complete response</a:t>
          </a:r>
        </a:p>
        <a:p>
          <a:r>
            <a:rPr lang="en-IN">
              <a:solidFill>
                <a:schemeClr val="tx1"/>
              </a:solidFill>
            </a:rPr>
            <a:t>Partial response</a:t>
          </a:r>
        </a:p>
        <a:p>
          <a:r>
            <a:rPr lang="en-IN">
              <a:solidFill>
                <a:schemeClr val="tx1"/>
              </a:solidFill>
            </a:rPr>
            <a:t>Stable disease</a:t>
          </a:r>
        </a:p>
        <a:p>
          <a:r>
            <a:rPr lang="en-IN">
              <a:solidFill>
                <a:schemeClr val="tx1"/>
              </a:solidFill>
            </a:rPr>
            <a:t>Progressive disease</a:t>
          </a:r>
        </a:p>
        <a:p>
          <a:pPr algn="l"/>
          <a:endParaRPr lang="en-IN" sz="1100">
            <a:solidFill>
              <a:sysClr val="windowText" lastClr="000000"/>
            </a:solidFill>
          </a:endParaRPr>
        </a:p>
      </xdr:txBody>
    </xdr:sp>
    <xdr:clientData/>
  </xdr:twoCellAnchor>
  <xdr:twoCellAnchor>
    <xdr:from>
      <xdr:col>1</xdr:col>
      <xdr:colOff>156028</xdr:colOff>
      <xdr:row>59</xdr:row>
      <xdr:rowOff>170544</xdr:rowOff>
    </xdr:from>
    <xdr:to>
      <xdr:col>2</xdr:col>
      <xdr:colOff>54428</xdr:colOff>
      <xdr:row>62</xdr:row>
      <xdr:rowOff>27216</xdr:rowOff>
    </xdr:to>
    <xdr:sp macro="" textlink="">
      <xdr:nvSpPr>
        <xdr:cNvPr id="20" name="Rectangle: Rounded Corners 19">
          <a:extLst>
            <a:ext uri="{FF2B5EF4-FFF2-40B4-BE49-F238E27FC236}">
              <a16:creationId xmlns:a16="http://schemas.microsoft.com/office/drawing/2014/main" id="{62EE9762-4FAA-476B-A2B6-036CB59B169A}"/>
            </a:ext>
          </a:extLst>
        </xdr:cNvPr>
        <xdr:cNvSpPr/>
      </xdr:nvSpPr>
      <xdr:spPr>
        <a:xfrm>
          <a:off x="954314" y="10874830"/>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7</a:t>
          </a:r>
        </a:p>
      </xdr:txBody>
    </xdr:sp>
    <xdr:clientData/>
  </xdr:twoCellAnchor>
  <xdr:twoCellAnchor>
    <xdr:from>
      <xdr:col>1</xdr:col>
      <xdr:colOff>544285</xdr:colOff>
      <xdr:row>55</xdr:row>
      <xdr:rowOff>74385</xdr:rowOff>
    </xdr:from>
    <xdr:to>
      <xdr:col>1</xdr:col>
      <xdr:colOff>751115</xdr:colOff>
      <xdr:row>59</xdr:row>
      <xdr:rowOff>108857</xdr:rowOff>
    </xdr:to>
    <xdr:sp macro="" textlink="">
      <xdr:nvSpPr>
        <xdr:cNvPr id="21" name="Arrow: Down 20">
          <a:extLst>
            <a:ext uri="{FF2B5EF4-FFF2-40B4-BE49-F238E27FC236}">
              <a16:creationId xmlns:a16="http://schemas.microsoft.com/office/drawing/2014/main" id="{F62C0FD5-5F17-401E-A168-6919C650D23A}"/>
            </a:ext>
          </a:extLst>
        </xdr:cNvPr>
        <xdr:cNvSpPr/>
      </xdr:nvSpPr>
      <xdr:spPr>
        <a:xfrm>
          <a:off x="1342571" y="10052956"/>
          <a:ext cx="206830" cy="760187"/>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212271</xdr:colOff>
      <xdr:row>66</xdr:row>
      <xdr:rowOff>97971</xdr:rowOff>
    </xdr:from>
    <xdr:to>
      <xdr:col>8</xdr:col>
      <xdr:colOff>154214</xdr:colOff>
      <xdr:row>73</xdr:row>
      <xdr:rowOff>163285</xdr:rowOff>
    </xdr:to>
    <xdr:sp macro="" textlink="">
      <xdr:nvSpPr>
        <xdr:cNvPr id="22" name="Rectangle: Rounded Corners 21">
          <a:extLst>
            <a:ext uri="{FF2B5EF4-FFF2-40B4-BE49-F238E27FC236}">
              <a16:creationId xmlns:a16="http://schemas.microsoft.com/office/drawing/2014/main" id="{55FA6556-271F-4164-80E0-2510B4209AB3}"/>
            </a:ext>
          </a:extLst>
        </xdr:cNvPr>
        <xdr:cNvSpPr/>
      </xdr:nvSpPr>
      <xdr:spPr>
        <a:xfrm>
          <a:off x="2099128" y="12072257"/>
          <a:ext cx="4060372" cy="1335314"/>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Maintenance or Follow-Up Care</a:t>
          </a:r>
          <a:endParaRPr lang="en-IN">
            <a:solidFill>
              <a:schemeClr val="tx1"/>
            </a:solidFill>
          </a:endParaRPr>
        </a:p>
        <a:p>
          <a:r>
            <a:rPr lang="en-IN">
              <a:solidFill>
                <a:schemeClr val="tx1"/>
              </a:solidFill>
            </a:rPr>
            <a:t>Some patients receive maintenance therapy (e.g., oral targeted drugs)</a:t>
          </a:r>
        </a:p>
        <a:p>
          <a:r>
            <a:rPr lang="en-IN">
              <a:solidFill>
                <a:schemeClr val="tx1"/>
              </a:solidFill>
            </a:rPr>
            <a:t>Others enter surveillance phase:</a:t>
          </a:r>
        </a:p>
        <a:p>
          <a:pPr lvl="1"/>
          <a:r>
            <a:rPr lang="en-IN">
              <a:solidFill>
                <a:schemeClr val="tx1"/>
              </a:solidFill>
            </a:rPr>
            <a:t>Regular check-ups</a:t>
          </a:r>
        </a:p>
        <a:p>
          <a:pPr lvl="1"/>
          <a:r>
            <a:rPr lang="en-IN">
              <a:solidFill>
                <a:schemeClr val="tx1"/>
              </a:solidFill>
            </a:rPr>
            <a:t>Periodic imaging and blood tests</a:t>
          </a:r>
        </a:p>
        <a:p>
          <a:pPr algn="l"/>
          <a:endParaRPr lang="en-IN" sz="1100">
            <a:solidFill>
              <a:sysClr val="windowText" lastClr="000000"/>
            </a:solidFill>
          </a:endParaRPr>
        </a:p>
      </xdr:txBody>
    </xdr:sp>
    <xdr:clientData/>
  </xdr:twoCellAnchor>
  <xdr:twoCellAnchor>
    <xdr:from>
      <xdr:col>1</xdr:col>
      <xdr:colOff>136071</xdr:colOff>
      <xdr:row>68</xdr:row>
      <xdr:rowOff>177802</xdr:rowOff>
    </xdr:from>
    <xdr:to>
      <xdr:col>2</xdr:col>
      <xdr:colOff>34471</xdr:colOff>
      <xdr:row>71</xdr:row>
      <xdr:rowOff>34473</xdr:rowOff>
    </xdr:to>
    <xdr:sp macro="" textlink="">
      <xdr:nvSpPr>
        <xdr:cNvPr id="24" name="Rectangle: Rounded Corners 23">
          <a:extLst>
            <a:ext uri="{FF2B5EF4-FFF2-40B4-BE49-F238E27FC236}">
              <a16:creationId xmlns:a16="http://schemas.microsoft.com/office/drawing/2014/main" id="{9FA4BA22-B784-4D08-A403-3793DE3EA3C2}"/>
            </a:ext>
          </a:extLst>
        </xdr:cNvPr>
        <xdr:cNvSpPr/>
      </xdr:nvSpPr>
      <xdr:spPr>
        <a:xfrm>
          <a:off x="934357" y="12514945"/>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8</a:t>
          </a:r>
        </a:p>
      </xdr:txBody>
    </xdr:sp>
    <xdr:clientData/>
  </xdr:twoCellAnchor>
  <xdr:twoCellAnchor>
    <xdr:from>
      <xdr:col>1</xdr:col>
      <xdr:colOff>542471</xdr:colOff>
      <xdr:row>62</xdr:row>
      <xdr:rowOff>136071</xdr:rowOff>
    </xdr:from>
    <xdr:to>
      <xdr:col>1</xdr:col>
      <xdr:colOff>743857</xdr:colOff>
      <xdr:row>68</xdr:row>
      <xdr:rowOff>81643</xdr:rowOff>
    </xdr:to>
    <xdr:sp macro="" textlink="">
      <xdr:nvSpPr>
        <xdr:cNvPr id="25" name="Arrow: Down 24">
          <a:extLst>
            <a:ext uri="{FF2B5EF4-FFF2-40B4-BE49-F238E27FC236}">
              <a16:creationId xmlns:a16="http://schemas.microsoft.com/office/drawing/2014/main" id="{A0AD083C-A486-4434-A2F2-FE33F8284A6A}"/>
            </a:ext>
          </a:extLst>
        </xdr:cNvPr>
        <xdr:cNvSpPr/>
      </xdr:nvSpPr>
      <xdr:spPr>
        <a:xfrm>
          <a:off x="1340757" y="11384642"/>
          <a:ext cx="201386" cy="1034144"/>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125185</xdr:colOff>
      <xdr:row>77</xdr:row>
      <xdr:rowOff>48988</xdr:rowOff>
    </xdr:from>
    <xdr:to>
      <xdr:col>2</xdr:col>
      <xdr:colOff>23585</xdr:colOff>
      <xdr:row>79</xdr:row>
      <xdr:rowOff>87088</xdr:rowOff>
    </xdr:to>
    <xdr:sp macro="" textlink="">
      <xdr:nvSpPr>
        <xdr:cNvPr id="26" name="Rectangle: Rounded Corners 25">
          <a:extLst>
            <a:ext uri="{FF2B5EF4-FFF2-40B4-BE49-F238E27FC236}">
              <a16:creationId xmlns:a16="http://schemas.microsoft.com/office/drawing/2014/main" id="{D55B9677-64DE-485C-86C5-8CDE5742D7FF}"/>
            </a:ext>
          </a:extLst>
        </xdr:cNvPr>
        <xdr:cNvSpPr/>
      </xdr:nvSpPr>
      <xdr:spPr>
        <a:xfrm>
          <a:off x="923471" y="14018988"/>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9</a:t>
          </a:r>
        </a:p>
      </xdr:txBody>
    </xdr:sp>
    <xdr:clientData/>
  </xdr:twoCellAnchor>
  <xdr:twoCellAnchor>
    <xdr:from>
      <xdr:col>1</xdr:col>
      <xdr:colOff>549727</xdr:colOff>
      <xdr:row>71</xdr:row>
      <xdr:rowOff>70756</xdr:rowOff>
    </xdr:from>
    <xdr:to>
      <xdr:col>1</xdr:col>
      <xdr:colOff>751113</xdr:colOff>
      <xdr:row>77</xdr:row>
      <xdr:rowOff>16329</xdr:rowOff>
    </xdr:to>
    <xdr:sp macro="" textlink="">
      <xdr:nvSpPr>
        <xdr:cNvPr id="27" name="Arrow: Down 26">
          <a:extLst>
            <a:ext uri="{FF2B5EF4-FFF2-40B4-BE49-F238E27FC236}">
              <a16:creationId xmlns:a16="http://schemas.microsoft.com/office/drawing/2014/main" id="{54C7C347-EA8C-4740-95DD-BFA627BCEF52}"/>
            </a:ext>
          </a:extLst>
        </xdr:cNvPr>
        <xdr:cNvSpPr/>
      </xdr:nvSpPr>
      <xdr:spPr>
        <a:xfrm>
          <a:off x="1348013" y="12952185"/>
          <a:ext cx="201386" cy="1034144"/>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76</xdr:row>
      <xdr:rowOff>50801</xdr:rowOff>
    </xdr:from>
    <xdr:to>
      <xdr:col>8</xdr:col>
      <xdr:colOff>170543</xdr:colOff>
      <xdr:row>80</xdr:row>
      <xdr:rowOff>54428</xdr:rowOff>
    </xdr:to>
    <xdr:sp macro="" textlink="">
      <xdr:nvSpPr>
        <xdr:cNvPr id="28" name="Rectangle: Rounded Corners 27">
          <a:extLst>
            <a:ext uri="{FF2B5EF4-FFF2-40B4-BE49-F238E27FC236}">
              <a16:creationId xmlns:a16="http://schemas.microsoft.com/office/drawing/2014/main" id="{C3FFB880-D832-4A26-AC77-F1732418FC2D}"/>
            </a:ext>
          </a:extLst>
        </xdr:cNvPr>
        <xdr:cNvSpPr/>
      </xdr:nvSpPr>
      <xdr:spPr>
        <a:xfrm>
          <a:off x="2115457" y="13839372"/>
          <a:ext cx="4060372" cy="729342"/>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Recurrence or Disease Progression</a:t>
          </a:r>
          <a:endParaRPr lang="en-IN">
            <a:solidFill>
              <a:schemeClr val="tx1"/>
            </a:solidFill>
          </a:endParaRPr>
        </a:p>
        <a:p>
          <a:r>
            <a:rPr lang="en-IN">
              <a:solidFill>
                <a:schemeClr val="tx1"/>
              </a:solidFill>
            </a:rPr>
            <a:t>If cancer returns, second-line or third-line therapies are initiated</a:t>
          </a:r>
        </a:p>
        <a:p>
          <a:r>
            <a:rPr lang="en-IN">
              <a:solidFill>
                <a:schemeClr val="tx1"/>
              </a:solidFill>
            </a:rPr>
            <a:t>Options may include clinical trials or different drug regimens</a:t>
          </a:r>
        </a:p>
        <a:p>
          <a:pPr algn="l"/>
          <a:endParaRPr lang="en-IN" sz="1100">
            <a:solidFill>
              <a:sysClr val="windowText" lastClr="000000"/>
            </a:solidFill>
          </a:endParaRPr>
        </a:p>
      </xdr:txBody>
    </xdr:sp>
    <xdr:clientData/>
  </xdr:twoCellAnchor>
  <xdr:twoCellAnchor>
    <xdr:from>
      <xdr:col>2</xdr:col>
      <xdr:colOff>199571</xdr:colOff>
      <xdr:row>81</xdr:row>
      <xdr:rowOff>175986</xdr:rowOff>
    </xdr:from>
    <xdr:to>
      <xdr:col>8</xdr:col>
      <xdr:colOff>154214</xdr:colOff>
      <xdr:row>86</xdr:row>
      <xdr:rowOff>136073</xdr:rowOff>
    </xdr:to>
    <xdr:sp macro="" textlink="">
      <xdr:nvSpPr>
        <xdr:cNvPr id="29" name="Rectangle: Rounded Corners 28">
          <a:extLst>
            <a:ext uri="{FF2B5EF4-FFF2-40B4-BE49-F238E27FC236}">
              <a16:creationId xmlns:a16="http://schemas.microsoft.com/office/drawing/2014/main" id="{60E58179-880C-4F4D-922B-25DDE0DB906E}"/>
            </a:ext>
          </a:extLst>
        </xdr:cNvPr>
        <xdr:cNvSpPr/>
      </xdr:nvSpPr>
      <xdr:spPr>
        <a:xfrm>
          <a:off x="2086428" y="14871700"/>
          <a:ext cx="4073072" cy="86723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Remission or Palliative Care</a:t>
          </a:r>
          <a:endParaRPr lang="en-IN">
            <a:solidFill>
              <a:schemeClr val="tx1"/>
            </a:solidFill>
          </a:endParaRPr>
        </a:p>
        <a:p>
          <a:r>
            <a:rPr lang="en-IN">
              <a:solidFill>
                <a:schemeClr val="tx1"/>
              </a:solidFill>
            </a:rPr>
            <a:t>Remission: Ongoing monitoring, no active disease</a:t>
          </a:r>
        </a:p>
        <a:p>
          <a:r>
            <a:rPr lang="en-IN">
              <a:solidFill>
                <a:schemeClr val="tx1"/>
              </a:solidFill>
            </a:rPr>
            <a:t>Palliative care: Focus on symptom relief and quality of life</a:t>
          </a:r>
        </a:p>
        <a:p>
          <a:r>
            <a:rPr lang="en-IN">
              <a:solidFill>
                <a:schemeClr val="tx1"/>
              </a:solidFill>
            </a:rPr>
            <a:t>Hospice care for end-of-life support</a:t>
          </a:r>
        </a:p>
        <a:p>
          <a:pPr algn="l"/>
          <a:endParaRPr lang="en-IN" sz="1100">
            <a:solidFill>
              <a:sysClr val="windowText" lastClr="000000"/>
            </a:solidFill>
          </a:endParaRPr>
        </a:p>
      </xdr:txBody>
    </xdr:sp>
    <xdr:clientData/>
  </xdr:twoCellAnchor>
  <xdr:twoCellAnchor>
    <xdr:from>
      <xdr:col>1</xdr:col>
      <xdr:colOff>141514</xdr:colOff>
      <xdr:row>83</xdr:row>
      <xdr:rowOff>47174</xdr:rowOff>
    </xdr:from>
    <xdr:to>
      <xdr:col>2</xdr:col>
      <xdr:colOff>39914</xdr:colOff>
      <xdr:row>85</xdr:row>
      <xdr:rowOff>85273</xdr:rowOff>
    </xdr:to>
    <xdr:sp macro="" textlink="">
      <xdr:nvSpPr>
        <xdr:cNvPr id="30" name="Rectangle: Rounded Corners 29">
          <a:extLst>
            <a:ext uri="{FF2B5EF4-FFF2-40B4-BE49-F238E27FC236}">
              <a16:creationId xmlns:a16="http://schemas.microsoft.com/office/drawing/2014/main" id="{B215A8BD-5031-4053-98DC-C7CAE0218D9F}"/>
            </a:ext>
          </a:extLst>
        </xdr:cNvPr>
        <xdr:cNvSpPr/>
      </xdr:nvSpPr>
      <xdr:spPr>
        <a:xfrm>
          <a:off x="939800" y="15105745"/>
          <a:ext cx="986971" cy="400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Step 10</a:t>
          </a:r>
        </a:p>
      </xdr:txBody>
    </xdr:sp>
    <xdr:clientData/>
  </xdr:twoCellAnchor>
  <xdr:twoCellAnchor>
    <xdr:from>
      <xdr:col>1</xdr:col>
      <xdr:colOff>571500</xdr:colOff>
      <xdr:row>79</xdr:row>
      <xdr:rowOff>136072</xdr:rowOff>
    </xdr:from>
    <xdr:to>
      <xdr:col>1</xdr:col>
      <xdr:colOff>780143</xdr:colOff>
      <xdr:row>83</xdr:row>
      <xdr:rowOff>18143</xdr:rowOff>
    </xdr:to>
    <xdr:sp macro="" textlink="">
      <xdr:nvSpPr>
        <xdr:cNvPr id="31" name="Arrow: Down 30">
          <a:extLst>
            <a:ext uri="{FF2B5EF4-FFF2-40B4-BE49-F238E27FC236}">
              <a16:creationId xmlns:a16="http://schemas.microsoft.com/office/drawing/2014/main" id="{8A1BEC64-EE62-4C00-BB11-F97CE3F63C0C}"/>
            </a:ext>
          </a:extLst>
        </xdr:cNvPr>
        <xdr:cNvSpPr/>
      </xdr:nvSpPr>
      <xdr:spPr>
        <a:xfrm>
          <a:off x="1369786" y="14468929"/>
          <a:ext cx="208643" cy="607785"/>
        </a:xfrm>
        <a:prstGeom prst="down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580572</xdr:colOff>
      <xdr:row>5</xdr:row>
      <xdr:rowOff>136072</xdr:rowOff>
    </xdr:from>
    <xdr:to>
      <xdr:col>23</xdr:col>
      <xdr:colOff>381001</xdr:colOff>
      <xdr:row>7</xdr:row>
      <xdr:rowOff>145143</xdr:rowOff>
    </xdr:to>
    <xdr:sp macro="" textlink="">
      <xdr:nvSpPr>
        <xdr:cNvPr id="23" name="Rectangle: Rounded Corners 22">
          <a:extLst>
            <a:ext uri="{FF2B5EF4-FFF2-40B4-BE49-F238E27FC236}">
              <a16:creationId xmlns:a16="http://schemas.microsoft.com/office/drawing/2014/main" id="{C2216228-7B97-85B2-F17B-1A75549E1A3F}"/>
            </a:ext>
          </a:extLst>
        </xdr:cNvPr>
        <xdr:cNvSpPr/>
      </xdr:nvSpPr>
      <xdr:spPr>
        <a:xfrm>
          <a:off x="13879286" y="1043215"/>
          <a:ext cx="1623786" cy="37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EPIDEMIOLOGY</a:t>
          </a:r>
          <a:endParaRPr lang="en-IN" sz="1100"/>
        </a:p>
      </xdr:txBody>
    </xdr:sp>
    <xdr:clientData/>
  </xdr:twoCellAnchor>
  <xdr:twoCellAnchor>
    <xdr:from>
      <xdr:col>20</xdr:col>
      <xdr:colOff>605971</xdr:colOff>
      <xdr:row>10</xdr:row>
      <xdr:rowOff>161473</xdr:rowOff>
    </xdr:from>
    <xdr:to>
      <xdr:col>23</xdr:col>
      <xdr:colOff>406400</xdr:colOff>
      <xdr:row>12</xdr:row>
      <xdr:rowOff>170544</xdr:rowOff>
    </xdr:to>
    <xdr:sp macro="" textlink="">
      <xdr:nvSpPr>
        <xdr:cNvPr id="32" name="Rectangle: Rounded Corners 31">
          <a:extLst>
            <a:ext uri="{FF2B5EF4-FFF2-40B4-BE49-F238E27FC236}">
              <a16:creationId xmlns:a16="http://schemas.microsoft.com/office/drawing/2014/main" id="{663582DE-89A1-4AAF-9E04-BCB2FA1C475A}"/>
            </a:ext>
          </a:extLst>
        </xdr:cNvPr>
        <xdr:cNvSpPr/>
      </xdr:nvSpPr>
      <xdr:spPr>
        <a:xfrm>
          <a:off x="13904685" y="1975759"/>
          <a:ext cx="1623786" cy="37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SUB-TYPES</a:t>
          </a:r>
          <a:endParaRPr lang="en-IN" sz="1100"/>
        </a:p>
      </xdr:txBody>
    </xdr:sp>
    <xdr:clientData/>
  </xdr:twoCellAnchor>
  <xdr:twoCellAnchor>
    <xdr:from>
      <xdr:col>20</xdr:col>
      <xdr:colOff>604157</xdr:colOff>
      <xdr:row>16</xdr:row>
      <xdr:rowOff>5444</xdr:rowOff>
    </xdr:from>
    <xdr:to>
      <xdr:col>23</xdr:col>
      <xdr:colOff>404586</xdr:colOff>
      <xdr:row>18</xdr:row>
      <xdr:rowOff>14515</xdr:rowOff>
    </xdr:to>
    <xdr:sp macro="" textlink="">
      <xdr:nvSpPr>
        <xdr:cNvPr id="33" name="Rectangle: Rounded Corners 32">
          <a:extLst>
            <a:ext uri="{FF2B5EF4-FFF2-40B4-BE49-F238E27FC236}">
              <a16:creationId xmlns:a16="http://schemas.microsoft.com/office/drawing/2014/main" id="{FD9F10E9-F3C5-4513-8962-20F4D3371584}"/>
            </a:ext>
          </a:extLst>
        </xdr:cNvPr>
        <xdr:cNvSpPr/>
      </xdr:nvSpPr>
      <xdr:spPr>
        <a:xfrm>
          <a:off x="13902871" y="2908301"/>
          <a:ext cx="1623786" cy="37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STAGING</a:t>
          </a:r>
          <a:endParaRPr lang="en-IN" sz="1100"/>
        </a:p>
      </xdr:txBody>
    </xdr:sp>
    <xdr:clientData/>
  </xdr:twoCellAnchor>
  <xdr:twoCellAnchor>
    <xdr:from>
      <xdr:col>22</xdr:col>
      <xdr:colOff>18142</xdr:colOff>
      <xdr:row>8</xdr:row>
      <xdr:rowOff>54429</xdr:rowOff>
    </xdr:from>
    <xdr:to>
      <xdr:col>22</xdr:col>
      <xdr:colOff>272142</xdr:colOff>
      <xdr:row>10</xdr:row>
      <xdr:rowOff>72572</xdr:rowOff>
    </xdr:to>
    <xdr:sp macro="" textlink="">
      <xdr:nvSpPr>
        <xdr:cNvPr id="34" name="Arrow: Down 33">
          <a:extLst>
            <a:ext uri="{FF2B5EF4-FFF2-40B4-BE49-F238E27FC236}">
              <a16:creationId xmlns:a16="http://schemas.microsoft.com/office/drawing/2014/main" id="{E6905B9B-024B-3177-A9EE-D7ECCDB7938B}"/>
            </a:ext>
          </a:extLst>
        </xdr:cNvPr>
        <xdr:cNvSpPr/>
      </xdr:nvSpPr>
      <xdr:spPr>
        <a:xfrm>
          <a:off x="14532428" y="1505858"/>
          <a:ext cx="254000" cy="381000"/>
        </a:xfrm>
        <a:prstGeom prst="down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34471</xdr:colOff>
      <xdr:row>13</xdr:row>
      <xdr:rowOff>70759</xdr:rowOff>
    </xdr:from>
    <xdr:to>
      <xdr:col>22</xdr:col>
      <xdr:colOff>288471</xdr:colOff>
      <xdr:row>15</xdr:row>
      <xdr:rowOff>88901</xdr:rowOff>
    </xdr:to>
    <xdr:sp macro="" textlink="">
      <xdr:nvSpPr>
        <xdr:cNvPr id="35" name="Arrow: Down 34">
          <a:extLst>
            <a:ext uri="{FF2B5EF4-FFF2-40B4-BE49-F238E27FC236}">
              <a16:creationId xmlns:a16="http://schemas.microsoft.com/office/drawing/2014/main" id="{96819360-132C-413A-AC7A-A0F452A993A7}"/>
            </a:ext>
          </a:extLst>
        </xdr:cNvPr>
        <xdr:cNvSpPr/>
      </xdr:nvSpPr>
      <xdr:spPr>
        <a:xfrm>
          <a:off x="14548757" y="2429330"/>
          <a:ext cx="254000" cy="381000"/>
        </a:xfrm>
        <a:prstGeom prst="down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23585</xdr:colOff>
      <xdr:row>18</xdr:row>
      <xdr:rowOff>87088</xdr:rowOff>
    </xdr:from>
    <xdr:to>
      <xdr:col>22</xdr:col>
      <xdr:colOff>277585</xdr:colOff>
      <xdr:row>20</xdr:row>
      <xdr:rowOff>105231</xdr:rowOff>
    </xdr:to>
    <xdr:sp macro="" textlink="">
      <xdr:nvSpPr>
        <xdr:cNvPr id="36" name="Arrow: Down 35">
          <a:extLst>
            <a:ext uri="{FF2B5EF4-FFF2-40B4-BE49-F238E27FC236}">
              <a16:creationId xmlns:a16="http://schemas.microsoft.com/office/drawing/2014/main" id="{F52A406C-62EC-4CD6-82E1-85EBF41C5285}"/>
            </a:ext>
          </a:extLst>
        </xdr:cNvPr>
        <xdr:cNvSpPr/>
      </xdr:nvSpPr>
      <xdr:spPr>
        <a:xfrm>
          <a:off x="14537871" y="3352802"/>
          <a:ext cx="254000" cy="381000"/>
        </a:xfrm>
        <a:prstGeom prst="down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125497</xdr:colOff>
      <xdr:row>14</xdr:row>
      <xdr:rowOff>52117</xdr:rowOff>
    </xdr:from>
    <xdr:to>
      <xdr:col>17</xdr:col>
      <xdr:colOff>440971</xdr:colOff>
      <xdr:row>23</xdr:row>
      <xdr:rowOff>19843</xdr:rowOff>
    </xdr:to>
    <xdr:pic>
      <xdr:nvPicPr>
        <xdr:cNvPr id="37" name="Picture 36">
          <a:extLst>
            <a:ext uri="{FF2B5EF4-FFF2-40B4-BE49-F238E27FC236}">
              <a16:creationId xmlns:a16="http://schemas.microsoft.com/office/drawing/2014/main" id="{4E9F65BA-8054-D6BF-40E3-B79AD0854C76}"/>
            </a:ext>
          </a:extLst>
        </xdr:cNvPr>
        <xdr:cNvPicPr>
          <a:picLocks noChangeAspect="1"/>
        </xdr:cNvPicPr>
      </xdr:nvPicPr>
      <xdr:blipFill>
        <a:blip xmlns:r="http://schemas.openxmlformats.org/officeDocument/2006/relationships" r:embed="rId1"/>
        <a:stretch>
          <a:fillRect/>
        </a:stretch>
      </xdr:blipFill>
      <xdr:spPr>
        <a:xfrm>
          <a:off x="7963778" y="2645034"/>
          <a:ext cx="3966724" cy="16346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20</xdr:col>
      <xdr:colOff>13229</xdr:colOff>
      <xdr:row>25</xdr:row>
      <xdr:rowOff>176477</xdr:rowOff>
    </xdr:from>
    <xdr:to>
      <xdr:col>25</xdr:col>
      <xdr:colOff>588697</xdr:colOff>
      <xdr:row>30</xdr:row>
      <xdr:rowOff>46302</xdr:rowOff>
    </xdr:to>
    <xdr:sp macro="" textlink="">
      <xdr:nvSpPr>
        <xdr:cNvPr id="38" name="Rectangle: Rounded Corners 37">
          <a:extLst>
            <a:ext uri="{FF2B5EF4-FFF2-40B4-BE49-F238E27FC236}">
              <a16:creationId xmlns:a16="http://schemas.microsoft.com/office/drawing/2014/main" id="{E4E853FE-69B5-4E35-BEFD-23417C025292}"/>
            </a:ext>
          </a:extLst>
        </xdr:cNvPr>
        <xdr:cNvSpPr/>
      </xdr:nvSpPr>
      <xdr:spPr>
        <a:xfrm>
          <a:off x="13328385" y="4806685"/>
          <a:ext cx="3618177" cy="795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Respondents,</a:t>
          </a:r>
          <a:r>
            <a:rPr lang="en-IN" sz="1600" baseline="0"/>
            <a:t> Non Respondents and Drop-outs</a:t>
          </a:r>
          <a:endParaRPr lang="en-IN" sz="1100"/>
        </a:p>
      </xdr:txBody>
    </xdr:sp>
    <xdr:clientData/>
  </xdr:twoCellAnchor>
  <xdr:twoCellAnchor>
    <xdr:from>
      <xdr:col>22</xdr:col>
      <xdr:colOff>38704</xdr:colOff>
      <xdr:row>23</xdr:row>
      <xdr:rowOff>91813</xdr:rowOff>
    </xdr:from>
    <xdr:to>
      <xdr:col>22</xdr:col>
      <xdr:colOff>292704</xdr:colOff>
      <xdr:row>25</xdr:row>
      <xdr:rowOff>109957</xdr:rowOff>
    </xdr:to>
    <xdr:sp macro="" textlink="">
      <xdr:nvSpPr>
        <xdr:cNvPr id="39" name="Arrow: Down 38">
          <a:extLst>
            <a:ext uri="{FF2B5EF4-FFF2-40B4-BE49-F238E27FC236}">
              <a16:creationId xmlns:a16="http://schemas.microsoft.com/office/drawing/2014/main" id="{3C15EBDC-A725-4BF7-B296-79B3DB771C1F}"/>
            </a:ext>
          </a:extLst>
        </xdr:cNvPr>
        <xdr:cNvSpPr/>
      </xdr:nvSpPr>
      <xdr:spPr>
        <a:xfrm>
          <a:off x="14570944" y="4351605"/>
          <a:ext cx="254000" cy="388560"/>
        </a:xfrm>
        <a:prstGeom prst="down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65162</xdr:colOff>
      <xdr:row>20</xdr:row>
      <xdr:rowOff>130176</xdr:rowOff>
    </xdr:from>
    <xdr:to>
      <xdr:col>25</xdr:col>
      <xdr:colOff>277812</xdr:colOff>
      <xdr:row>22</xdr:row>
      <xdr:rowOff>139248</xdr:rowOff>
    </xdr:to>
    <xdr:sp macro="" textlink="">
      <xdr:nvSpPr>
        <xdr:cNvPr id="40" name="Rectangle: Rounded Corners 39">
          <a:extLst>
            <a:ext uri="{FF2B5EF4-FFF2-40B4-BE49-F238E27FC236}">
              <a16:creationId xmlns:a16="http://schemas.microsoft.com/office/drawing/2014/main" id="{46251546-2FCC-46CE-8628-18B86F10F8DC}"/>
            </a:ext>
          </a:extLst>
        </xdr:cNvPr>
        <xdr:cNvSpPr/>
      </xdr:nvSpPr>
      <xdr:spPr>
        <a:xfrm>
          <a:off x="13380318" y="3834343"/>
          <a:ext cx="3255359" cy="3794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Disease</a:t>
          </a:r>
          <a:r>
            <a:rPr lang="en-IN" sz="1600" baseline="0"/>
            <a:t> Progression along Stages </a:t>
          </a:r>
          <a:endParaRPr lang="en-IN" sz="1100"/>
        </a:p>
      </xdr:txBody>
    </xdr:sp>
    <xdr:clientData/>
  </xdr:twoCellAnchor>
  <xdr:twoCellAnchor editAs="oneCell">
    <xdr:from>
      <xdr:col>8</xdr:col>
      <xdr:colOff>423333</xdr:colOff>
      <xdr:row>43</xdr:row>
      <xdr:rowOff>53017</xdr:rowOff>
    </xdr:from>
    <xdr:to>
      <xdr:col>21</xdr:col>
      <xdr:colOff>419918</xdr:colOff>
      <xdr:row>57</xdr:row>
      <xdr:rowOff>74502</xdr:rowOff>
    </xdr:to>
    <xdr:pic>
      <xdr:nvPicPr>
        <xdr:cNvPr id="41" name="Picture 40">
          <a:extLst>
            <a:ext uri="{FF2B5EF4-FFF2-40B4-BE49-F238E27FC236}">
              <a16:creationId xmlns:a16="http://schemas.microsoft.com/office/drawing/2014/main" id="{AC8CD5B8-AB02-3BA7-FD5E-5CD40EE4CC23}"/>
            </a:ext>
          </a:extLst>
        </xdr:cNvPr>
        <xdr:cNvPicPr>
          <a:picLocks noChangeAspect="1"/>
        </xdr:cNvPicPr>
      </xdr:nvPicPr>
      <xdr:blipFill>
        <a:blip xmlns:r="http://schemas.openxmlformats.org/officeDocument/2006/relationships" r:embed="rId2"/>
        <a:stretch>
          <a:fillRect/>
        </a:stretch>
      </xdr:blipFill>
      <xdr:spPr>
        <a:xfrm>
          <a:off x="8010769" y="7754427"/>
          <a:ext cx="7828252" cy="25289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BAC5-E5C4-48D9-A3C5-084B600FF005}">
  <dimension ref="A1:CT76"/>
  <sheetViews>
    <sheetView tabSelected="1" zoomScale="60" workbookViewId="0">
      <selection activeCell="E76" sqref="E76"/>
    </sheetView>
  </sheetViews>
  <sheetFormatPr defaultColWidth="8.77734375" defaultRowHeight="15.6" x14ac:dyDescent="0.3"/>
  <cols>
    <col min="1" max="1" width="55.109375" style="7" customWidth="1"/>
    <col min="2" max="2" width="11.77734375" style="7" customWidth="1"/>
    <col min="3" max="3" width="11.21875" style="7" customWidth="1"/>
    <col min="4" max="4" width="11.88671875" style="7" customWidth="1"/>
    <col min="5" max="5" width="19.21875" style="7" customWidth="1"/>
    <col min="6" max="12" width="18.77734375" style="7" bestFit="1" customWidth="1"/>
    <col min="13" max="14" width="13.44140625" style="7" bestFit="1" customWidth="1"/>
    <col min="15" max="16384" width="8.77734375" style="7"/>
  </cols>
  <sheetData>
    <row r="1" spans="1:98" s="42" customFormat="1" ht="20.399999999999999" x14ac:dyDescent="0.35">
      <c r="A1" s="42" t="s">
        <v>57</v>
      </c>
    </row>
    <row r="2" spans="1:98" ht="16.95" customHeight="1" x14ac:dyDescent="0.3">
      <c r="A2" s="6" t="s">
        <v>0</v>
      </c>
      <c r="B2" s="6"/>
      <c r="I2" s="8" t="s">
        <v>15</v>
      </c>
    </row>
    <row r="3" spans="1:98" x14ac:dyDescent="0.3">
      <c r="A3" s="22" t="s">
        <v>41</v>
      </c>
    </row>
    <row r="4" spans="1:98" x14ac:dyDescent="0.3">
      <c r="A4" s="7">
        <v>1</v>
      </c>
      <c r="B4" s="7">
        <f>1+A4</f>
        <v>2</v>
      </c>
      <c r="C4" s="7">
        <f t="shared" ref="C4:L4" si="0">1+B4</f>
        <v>3</v>
      </c>
      <c r="D4" s="7">
        <f t="shared" si="0"/>
        <v>4</v>
      </c>
      <c r="E4" s="7">
        <f t="shared" si="0"/>
        <v>5</v>
      </c>
      <c r="F4" s="7">
        <f t="shared" si="0"/>
        <v>6</v>
      </c>
      <c r="G4" s="7">
        <f t="shared" si="0"/>
        <v>7</v>
      </c>
      <c r="H4" s="7">
        <f t="shared" si="0"/>
        <v>8</v>
      </c>
      <c r="I4" s="7">
        <f t="shared" si="0"/>
        <v>9</v>
      </c>
      <c r="J4" s="7">
        <f t="shared" si="0"/>
        <v>10</v>
      </c>
      <c r="K4" s="7">
        <f t="shared" si="0"/>
        <v>11</v>
      </c>
      <c r="L4" s="7">
        <f t="shared" si="0"/>
        <v>12</v>
      </c>
      <c r="M4" s="7">
        <f t="shared" ref="M4:BO4" si="1">L4+1</f>
        <v>13</v>
      </c>
      <c r="N4" s="7">
        <f t="shared" si="1"/>
        <v>14</v>
      </c>
      <c r="O4" s="7">
        <f t="shared" si="1"/>
        <v>15</v>
      </c>
      <c r="P4" s="7">
        <f t="shared" si="1"/>
        <v>16</v>
      </c>
      <c r="Q4" s="7">
        <f t="shared" si="1"/>
        <v>17</v>
      </c>
      <c r="R4" s="7">
        <f t="shared" si="1"/>
        <v>18</v>
      </c>
      <c r="S4" s="7">
        <f t="shared" si="1"/>
        <v>19</v>
      </c>
      <c r="T4" s="7">
        <f t="shared" si="1"/>
        <v>20</v>
      </c>
      <c r="U4" s="7">
        <f t="shared" si="1"/>
        <v>21</v>
      </c>
      <c r="V4" s="7">
        <f t="shared" si="1"/>
        <v>22</v>
      </c>
      <c r="W4" s="7">
        <f t="shared" si="1"/>
        <v>23</v>
      </c>
      <c r="X4" s="7">
        <f t="shared" si="1"/>
        <v>24</v>
      </c>
      <c r="Y4" s="7">
        <f t="shared" si="1"/>
        <v>25</v>
      </c>
      <c r="Z4" s="7">
        <f t="shared" si="1"/>
        <v>26</v>
      </c>
      <c r="AA4" s="7">
        <f t="shared" si="1"/>
        <v>27</v>
      </c>
      <c r="AB4" s="7">
        <f t="shared" si="1"/>
        <v>28</v>
      </c>
      <c r="AC4" s="7">
        <f t="shared" si="1"/>
        <v>29</v>
      </c>
      <c r="AD4" s="7">
        <f t="shared" si="1"/>
        <v>30</v>
      </c>
      <c r="AE4" s="7">
        <f t="shared" si="1"/>
        <v>31</v>
      </c>
      <c r="AF4" s="7">
        <f t="shared" si="1"/>
        <v>32</v>
      </c>
      <c r="AG4" s="7">
        <f t="shared" si="1"/>
        <v>33</v>
      </c>
      <c r="AH4" s="7">
        <f t="shared" si="1"/>
        <v>34</v>
      </c>
      <c r="AI4" s="7">
        <f t="shared" si="1"/>
        <v>35</v>
      </c>
      <c r="AJ4" s="7">
        <f t="shared" si="1"/>
        <v>36</v>
      </c>
      <c r="AK4" s="7">
        <f t="shared" si="1"/>
        <v>37</v>
      </c>
      <c r="AL4" s="7">
        <f t="shared" si="1"/>
        <v>38</v>
      </c>
      <c r="AM4" s="7">
        <f t="shared" si="1"/>
        <v>39</v>
      </c>
      <c r="AN4" s="7">
        <f t="shared" si="1"/>
        <v>40</v>
      </c>
      <c r="AO4" s="7">
        <f t="shared" si="1"/>
        <v>41</v>
      </c>
      <c r="AP4" s="7">
        <f t="shared" si="1"/>
        <v>42</v>
      </c>
      <c r="AQ4" s="7">
        <f t="shared" si="1"/>
        <v>43</v>
      </c>
      <c r="AR4" s="7">
        <f t="shared" si="1"/>
        <v>44</v>
      </c>
      <c r="AS4" s="7">
        <f t="shared" si="1"/>
        <v>45</v>
      </c>
      <c r="AT4" s="7">
        <f t="shared" si="1"/>
        <v>46</v>
      </c>
      <c r="AU4" s="7">
        <f t="shared" si="1"/>
        <v>47</v>
      </c>
      <c r="AV4" s="7">
        <f t="shared" si="1"/>
        <v>48</v>
      </c>
      <c r="AW4" s="7">
        <f t="shared" si="1"/>
        <v>49</v>
      </c>
      <c r="AX4" s="7">
        <f t="shared" si="1"/>
        <v>50</v>
      </c>
      <c r="AY4" s="7">
        <f t="shared" si="1"/>
        <v>51</v>
      </c>
      <c r="AZ4" s="7">
        <f t="shared" si="1"/>
        <v>52</v>
      </c>
      <c r="BA4" s="7">
        <f t="shared" si="1"/>
        <v>53</v>
      </c>
      <c r="BB4" s="7">
        <f t="shared" si="1"/>
        <v>54</v>
      </c>
      <c r="BC4" s="7">
        <f t="shared" si="1"/>
        <v>55</v>
      </c>
      <c r="BD4" s="7">
        <f t="shared" si="1"/>
        <v>56</v>
      </c>
      <c r="BE4" s="7">
        <f t="shared" si="1"/>
        <v>57</v>
      </c>
      <c r="BF4" s="7">
        <f t="shared" si="1"/>
        <v>58</v>
      </c>
      <c r="BG4" s="7">
        <f t="shared" si="1"/>
        <v>59</v>
      </c>
      <c r="BH4" s="7">
        <f t="shared" si="1"/>
        <v>60</v>
      </c>
      <c r="BI4" s="7">
        <f t="shared" si="1"/>
        <v>61</v>
      </c>
      <c r="BJ4" s="7">
        <f t="shared" si="1"/>
        <v>62</v>
      </c>
      <c r="BK4" s="7">
        <f t="shared" si="1"/>
        <v>63</v>
      </c>
      <c r="BL4" s="7">
        <f t="shared" si="1"/>
        <v>64</v>
      </c>
      <c r="BM4" s="7">
        <f t="shared" si="1"/>
        <v>65</v>
      </c>
      <c r="BN4" s="7">
        <f t="shared" si="1"/>
        <v>66</v>
      </c>
      <c r="BO4" s="7">
        <f t="shared" si="1"/>
        <v>67</v>
      </c>
      <c r="BP4" s="7">
        <f t="shared" ref="BP4:CT4" si="2">BO4+1</f>
        <v>68</v>
      </c>
      <c r="BQ4" s="7">
        <f t="shared" si="2"/>
        <v>69</v>
      </c>
      <c r="BR4" s="7">
        <f t="shared" si="2"/>
        <v>70</v>
      </c>
      <c r="BS4" s="7">
        <f t="shared" si="2"/>
        <v>71</v>
      </c>
      <c r="BT4" s="7">
        <f t="shared" si="2"/>
        <v>72</v>
      </c>
      <c r="BU4" s="7">
        <f t="shared" si="2"/>
        <v>73</v>
      </c>
      <c r="BV4" s="7">
        <f t="shared" si="2"/>
        <v>74</v>
      </c>
      <c r="BW4" s="7">
        <f t="shared" si="2"/>
        <v>75</v>
      </c>
      <c r="BX4" s="7">
        <f t="shared" si="2"/>
        <v>76</v>
      </c>
      <c r="BY4" s="7">
        <f t="shared" si="2"/>
        <v>77</v>
      </c>
      <c r="BZ4" s="7">
        <f t="shared" si="2"/>
        <v>78</v>
      </c>
      <c r="CA4" s="7">
        <f t="shared" si="2"/>
        <v>79</v>
      </c>
      <c r="CB4" s="7">
        <f t="shared" si="2"/>
        <v>80</v>
      </c>
      <c r="CC4" s="7">
        <f t="shared" si="2"/>
        <v>81</v>
      </c>
      <c r="CD4" s="7">
        <f t="shared" si="2"/>
        <v>82</v>
      </c>
      <c r="CE4" s="7">
        <f t="shared" si="2"/>
        <v>83</v>
      </c>
      <c r="CF4" s="7">
        <f t="shared" si="2"/>
        <v>84</v>
      </c>
      <c r="CG4" s="7">
        <f t="shared" si="2"/>
        <v>85</v>
      </c>
      <c r="CH4" s="7">
        <f t="shared" si="2"/>
        <v>86</v>
      </c>
      <c r="CI4" s="7">
        <f t="shared" si="2"/>
        <v>87</v>
      </c>
      <c r="CJ4" s="7">
        <f t="shared" si="2"/>
        <v>88</v>
      </c>
      <c r="CK4" s="7">
        <f t="shared" si="2"/>
        <v>89</v>
      </c>
      <c r="CL4" s="7">
        <f t="shared" si="2"/>
        <v>90</v>
      </c>
      <c r="CM4" s="7">
        <f t="shared" si="2"/>
        <v>91</v>
      </c>
      <c r="CN4" s="7">
        <f t="shared" si="2"/>
        <v>92</v>
      </c>
      <c r="CO4" s="7">
        <f t="shared" si="2"/>
        <v>93</v>
      </c>
      <c r="CP4" s="7">
        <f t="shared" si="2"/>
        <v>94</v>
      </c>
      <c r="CQ4" s="7">
        <f t="shared" si="2"/>
        <v>95</v>
      </c>
      <c r="CR4" s="7">
        <f t="shared" si="2"/>
        <v>96</v>
      </c>
      <c r="CS4" s="7">
        <f t="shared" si="2"/>
        <v>97</v>
      </c>
      <c r="CT4" s="7">
        <f t="shared" si="2"/>
        <v>98</v>
      </c>
    </row>
    <row r="5" spans="1:98" x14ac:dyDescent="0.3">
      <c r="B5" s="23"/>
      <c r="C5" s="23">
        <v>1</v>
      </c>
      <c r="D5" s="23">
        <f>C5+1</f>
        <v>2</v>
      </c>
      <c r="E5" s="23">
        <f t="shared" ref="E5:BP5" si="3">D5+1</f>
        <v>3</v>
      </c>
      <c r="F5" s="23">
        <f t="shared" si="3"/>
        <v>4</v>
      </c>
      <c r="G5" s="23">
        <f t="shared" si="3"/>
        <v>5</v>
      </c>
      <c r="H5" s="23">
        <f t="shared" si="3"/>
        <v>6</v>
      </c>
      <c r="I5" s="23">
        <f t="shared" si="3"/>
        <v>7</v>
      </c>
      <c r="J5" s="23">
        <f t="shared" si="3"/>
        <v>8</v>
      </c>
      <c r="K5" s="23">
        <f t="shared" si="3"/>
        <v>9</v>
      </c>
      <c r="L5" s="23">
        <f t="shared" si="3"/>
        <v>10</v>
      </c>
      <c r="M5" s="23">
        <f t="shared" si="3"/>
        <v>11</v>
      </c>
      <c r="N5" s="23">
        <f t="shared" si="3"/>
        <v>12</v>
      </c>
      <c r="O5" s="23">
        <f t="shared" si="3"/>
        <v>13</v>
      </c>
      <c r="P5" s="23">
        <f t="shared" si="3"/>
        <v>14</v>
      </c>
      <c r="Q5" s="23">
        <f t="shared" si="3"/>
        <v>15</v>
      </c>
      <c r="R5" s="23">
        <f t="shared" si="3"/>
        <v>16</v>
      </c>
      <c r="S5" s="23">
        <f t="shared" si="3"/>
        <v>17</v>
      </c>
      <c r="T5" s="23">
        <f t="shared" si="3"/>
        <v>18</v>
      </c>
      <c r="U5" s="23">
        <f t="shared" si="3"/>
        <v>19</v>
      </c>
      <c r="V5" s="23">
        <f t="shared" si="3"/>
        <v>20</v>
      </c>
      <c r="W5" s="23">
        <f t="shared" si="3"/>
        <v>21</v>
      </c>
      <c r="X5" s="23">
        <f t="shared" si="3"/>
        <v>22</v>
      </c>
      <c r="Y5" s="23">
        <f t="shared" si="3"/>
        <v>23</v>
      </c>
      <c r="Z5" s="23">
        <f t="shared" si="3"/>
        <v>24</v>
      </c>
      <c r="AA5" s="23">
        <f t="shared" si="3"/>
        <v>25</v>
      </c>
      <c r="AB5" s="23">
        <f t="shared" si="3"/>
        <v>26</v>
      </c>
      <c r="AC5" s="23">
        <f t="shared" si="3"/>
        <v>27</v>
      </c>
      <c r="AD5" s="23">
        <f t="shared" si="3"/>
        <v>28</v>
      </c>
      <c r="AE5" s="23">
        <f t="shared" si="3"/>
        <v>29</v>
      </c>
      <c r="AF5" s="23">
        <f t="shared" si="3"/>
        <v>30</v>
      </c>
      <c r="AG5" s="23">
        <f t="shared" si="3"/>
        <v>31</v>
      </c>
      <c r="AH5" s="23">
        <f t="shared" si="3"/>
        <v>32</v>
      </c>
      <c r="AI5" s="23">
        <f t="shared" si="3"/>
        <v>33</v>
      </c>
      <c r="AJ5" s="23">
        <f t="shared" si="3"/>
        <v>34</v>
      </c>
      <c r="AK5" s="23">
        <f t="shared" si="3"/>
        <v>35</v>
      </c>
      <c r="AL5" s="23">
        <f t="shared" si="3"/>
        <v>36</v>
      </c>
      <c r="AM5" s="23">
        <f t="shared" si="3"/>
        <v>37</v>
      </c>
      <c r="AN5" s="23">
        <f t="shared" si="3"/>
        <v>38</v>
      </c>
      <c r="AO5" s="23">
        <f t="shared" si="3"/>
        <v>39</v>
      </c>
      <c r="AP5" s="23">
        <f t="shared" si="3"/>
        <v>40</v>
      </c>
      <c r="AQ5" s="23">
        <f t="shared" si="3"/>
        <v>41</v>
      </c>
      <c r="AR5" s="23">
        <f t="shared" si="3"/>
        <v>42</v>
      </c>
      <c r="AS5" s="23">
        <f t="shared" si="3"/>
        <v>43</v>
      </c>
      <c r="AT5" s="23">
        <f t="shared" si="3"/>
        <v>44</v>
      </c>
      <c r="AU5" s="23">
        <f t="shared" si="3"/>
        <v>45</v>
      </c>
      <c r="AV5" s="23">
        <f t="shared" si="3"/>
        <v>46</v>
      </c>
      <c r="AW5" s="23">
        <f t="shared" si="3"/>
        <v>47</v>
      </c>
      <c r="AX5" s="23">
        <f t="shared" si="3"/>
        <v>48</v>
      </c>
      <c r="AY5" s="23">
        <f t="shared" si="3"/>
        <v>49</v>
      </c>
      <c r="AZ5" s="23">
        <f t="shared" si="3"/>
        <v>50</v>
      </c>
      <c r="BA5" s="23">
        <f t="shared" si="3"/>
        <v>51</v>
      </c>
      <c r="BB5" s="23">
        <f t="shared" si="3"/>
        <v>52</v>
      </c>
      <c r="BC5" s="23">
        <f t="shared" si="3"/>
        <v>53</v>
      </c>
      <c r="BD5" s="23">
        <f t="shared" si="3"/>
        <v>54</v>
      </c>
      <c r="BE5" s="23">
        <f t="shared" si="3"/>
        <v>55</v>
      </c>
      <c r="BF5" s="23">
        <f t="shared" si="3"/>
        <v>56</v>
      </c>
      <c r="BG5" s="23">
        <f t="shared" si="3"/>
        <v>57</v>
      </c>
      <c r="BH5" s="23">
        <f t="shared" si="3"/>
        <v>58</v>
      </c>
      <c r="BI5" s="23">
        <f t="shared" si="3"/>
        <v>59</v>
      </c>
      <c r="BJ5" s="23">
        <f t="shared" si="3"/>
        <v>60</v>
      </c>
      <c r="BK5" s="23">
        <f t="shared" si="3"/>
        <v>61</v>
      </c>
      <c r="BL5" s="23">
        <f t="shared" si="3"/>
        <v>62</v>
      </c>
      <c r="BM5" s="23">
        <f t="shared" si="3"/>
        <v>63</v>
      </c>
      <c r="BN5" s="23">
        <f t="shared" si="3"/>
        <v>64</v>
      </c>
      <c r="BO5" s="23">
        <f t="shared" si="3"/>
        <v>65</v>
      </c>
      <c r="BP5" s="23">
        <f t="shared" si="3"/>
        <v>66</v>
      </c>
      <c r="BQ5" s="23">
        <f t="shared" ref="BQ5:CT5" si="4">BP5+1</f>
        <v>67</v>
      </c>
      <c r="BR5" s="23">
        <f t="shared" si="4"/>
        <v>68</v>
      </c>
      <c r="BS5" s="23">
        <f t="shared" si="4"/>
        <v>69</v>
      </c>
      <c r="BT5" s="23">
        <f t="shared" si="4"/>
        <v>70</v>
      </c>
      <c r="BU5" s="23">
        <f t="shared" si="4"/>
        <v>71</v>
      </c>
      <c r="BV5" s="23">
        <f t="shared" si="4"/>
        <v>72</v>
      </c>
      <c r="BW5" s="23">
        <f t="shared" si="4"/>
        <v>73</v>
      </c>
      <c r="BX5" s="23">
        <f t="shared" si="4"/>
        <v>74</v>
      </c>
      <c r="BY5" s="23">
        <f t="shared" si="4"/>
        <v>75</v>
      </c>
      <c r="BZ5" s="23">
        <f t="shared" si="4"/>
        <v>76</v>
      </c>
      <c r="CA5" s="23">
        <f t="shared" si="4"/>
        <v>77</v>
      </c>
      <c r="CB5" s="23">
        <f t="shared" si="4"/>
        <v>78</v>
      </c>
      <c r="CC5" s="23">
        <f t="shared" si="4"/>
        <v>79</v>
      </c>
      <c r="CD5" s="23">
        <f t="shared" si="4"/>
        <v>80</v>
      </c>
      <c r="CE5" s="23">
        <f t="shared" si="4"/>
        <v>81</v>
      </c>
      <c r="CF5" s="23">
        <f t="shared" si="4"/>
        <v>82</v>
      </c>
      <c r="CG5" s="23">
        <f t="shared" si="4"/>
        <v>83</v>
      </c>
      <c r="CH5" s="23">
        <f t="shared" si="4"/>
        <v>84</v>
      </c>
      <c r="CI5" s="23">
        <f t="shared" si="4"/>
        <v>85</v>
      </c>
      <c r="CJ5" s="23">
        <f t="shared" si="4"/>
        <v>86</v>
      </c>
      <c r="CK5" s="23">
        <f t="shared" si="4"/>
        <v>87</v>
      </c>
      <c r="CL5" s="23">
        <f t="shared" si="4"/>
        <v>88</v>
      </c>
      <c r="CM5" s="23">
        <f t="shared" si="4"/>
        <v>89</v>
      </c>
      <c r="CN5" s="23">
        <f t="shared" si="4"/>
        <v>90</v>
      </c>
      <c r="CO5" s="23">
        <f t="shared" si="4"/>
        <v>91</v>
      </c>
      <c r="CP5" s="23">
        <f t="shared" si="4"/>
        <v>92</v>
      </c>
      <c r="CQ5" s="23">
        <f t="shared" si="4"/>
        <v>93</v>
      </c>
      <c r="CR5" s="23">
        <f t="shared" si="4"/>
        <v>94</v>
      </c>
      <c r="CS5" s="23">
        <f t="shared" si="4"/>
        <v>95</v>
      </c>
      <c r="CT5" s="23">
        <f t="shared" si="4"/>
        <v>96</v>
      </c>
    </row>
    <row r="6" spans="1:98" x14ac:dyDescent="0.3">
      <c r="C6" s="9" t="s">
        <v>2</v>
      </c>
      <c r="D6" s="10" t="s">
        <v>3</v>
      </c>
      <c r="E6" s="10" t="s">
        <v>4</v>
      </c>
      <c r="F6" s="10" t="s">
        <v>5</v>
      </c>
      <c r="G6" s="10" t="s">
        <v>6</v>
      </c>
      <c r="H6" s="10" t="s">
        <v>7</v>
      </c>
      <c r="I6" s="10" t="s">
        <v>8</v>
      </c>
      <c r="J6" s="10" t="s">
        <v>9</v>
      </c>
      <c r="K6" s="10" t="s">
        <v>10</v>
      </c>
      <c r="L6" s="10" t="s">
        <v>11</v>
      </c>
      <c r="M6" s="10" t="s">
        <v>12</v>
      </c>
      <c r="N6" s="11" t="s">
        <v>13</v>
      </c>
      <c r="O6" s="12" t="s">
        <v>2</v>
      </c>
      <c r="P6" s="12" t="s">
        <v>3</v>
      </c>
      <c r="Q6" s="12" t="s">
        <v>4</v>
      </c>
      <c r="R6" s="12" t="s">
        <v>5</v>
      </c>
      <c r="S6" s="12" t="s">
        <v>6</v>
      </c>
      <c r="T6" s="12" t="s">
        <v>7</v>
      </c>
      <c r="U6" s="12" t="s">
        <v>8</v>
      </c>
      <c r="V6" s="12" t="s">
        <v>9</v>
      </c>
      <c r="W6" s="12" t="s">
        <v>10</v>
      </c>
      <c r="X6" s="12" t="s">
        <v>11</v>
      </c>
      <c r="Y6" s="12" t="s">
        <v>12</v>
      </c>
      <c r="Z6" s="12" t="s">
        <v>13</v>
      </c>
      <c r="AA6" s="12" t="s">
        <v>2</v>
      </c>
      <c r="AB6" s="12" t="s">
        <v>3</v>
      </c>
      <c r="AC6" s="12" t="s">
        <v>4</v>
      </c>
      <c r="AD6" s="12" t="s">
        <v>5</v>
      </c>
      <c r="AE6" s="12" t="s">
        <v>6</v>
      </c>
      <c r="AF6" s="12" t="s">
        <v>7</v>
      </c>
      <c r="AG6" s="12" t="s">
        <v>8</v>
      </c>
      <c r="AH6" s="12" t="s">
        <v>9</v>
      </c>
      <c r="AI6" s="12" t="s">
        <v>10</v>
      </c>
      <c r="AJ6" s="12" t="s">
        <v>11</v>
      </c>
      <c r="AK6" s="12" t="s">
        <v>12</v>
      </c>
      <c r="AL6" s="12" t="s">
        <v>13</v>
      </c>
      <c r="AM6" s="12" t="s">
        <v>2</v>
      </c>
      <c r="AN6" s="12" t="s">
        <v>3</v>
      </c>
      <c r="AO6" s="12" t="s">
        <v>4</v>
      </c>
      <c r="AP6" s="12" t="s">
        <v>5</v>
      </c>
      <c r="AQ6" s="12" t="s">
        <v>6</v>
      </c>
      <c r="AR6" s="12" t="s">
        <v>7</v>
      </c>
      <c r="AS6" s="12" t="s">
        <v>8</v>
      </c>
      <c r="AT6" s="12" t="s">
        <v>9</v>
      </c>
      <c r="AU6" s="12" t="s">
        <v>10</v>
      </c>
      <c r="AV6" s="12" t="s">
        <v>11</v>
      </c>
      <c r="AW6" s="12" t="s">
        <v>12</v>
      </c>
      <c r="AX6" s="12" t="s">
        <v>13</v>
      </c>
      <c r="AY6" s="12" t="s">
        <v>2</v>
      </c>
      <c r="AZ6" s="12" t="s">
        <v>3</v>
      </c>
      <c r="BA6" s="12" t="s">
        <v>4</v>
      </c>
      <c r="BB6" s="12" t="s">
        <v>5</v>
      </c>
      <c r="BC6" s="12" t="s">
        <v>6</v>
      </c>
      <c r="BD6" s="12" t="s">
        <v>7</v>
      </c>
      <c r="BE6" s="12" t="s">
        <v>8</v>
      </c>
      <c r="BF6" s="12" t="s">
        <v>9</v>
      </c>
      <c r="BG6" s="12" t="s">
        <v>10</v>
      </c>
      <c r="BH6" s="12" t="s">
        <v>11</v>
      </c>
      <c r="BI6" s="12" t="s">
        <v>12</v>
      </c>
      <c r="BJ6" s="12" t="s">
        <v>13</v>
      </c>
      <c r="BK6" s="12" t="s">
        <v>2</v>
      </c>
      <c r="BL6" s="12" t="s">
        <v>3</v>
      </c>
      <c r="BM6" s="12" t="s">
        <v>4</v>
      </c>
      <c r="BN6" s="12" t="s">
        <v>5</v>
      </c>
      <c r="BO6" s="12" t="s">
        <v>6</v>
      </c>
      <c r="BP6" s="12" t="s">
        <v>7</v>
      </c>
      <c r="BQ6" s="12" t="s">
        <v>8</v>
      </c>
      <c r="BR6" s="12" t="s">
        <v>9</v>
      </c>
      <c r="BS6" s="12" t="s">
        <v>10</v>
      </c>
      <c r="BT6" s="12" t="s">
        <v>11</v>
      </c>
      <c r="BU6" s="12" t="s">
        <v>12</v>
      </c>
      <c r="BV6" s="12" t="s">
        <v>13</v>
      </c>
      <c r="BW6" s="12" t="s">
        <v>2</v>
      </c>
      <c r="BX6" s="12" t="s">
        <v>3</v>
      </c>
      <c r="BY6" s="12" t="s">
        <v>4</v>
      </c>
      <c r="BZ6" s="12" t="s">
        <v>5</v>
      </c>
      <c r="CA6" s="12" t="s">
        <v>6</v>
      </c>
      <c r="CB6" s="12" t="s">
        <v>7</v>
      </c>
      <c r="CC6" s="12" t="s">
        <v>8</v>
      </c>
      <c r="CD6" s="12" t="s">
        <v>9</v>
      </c>
      <c r="CE6" s="12" t="s">
        <v>10</v>
      </c>
      <c r="CF6" s="12" t="s">
        <v>11</v>
      </c>
      <c r="CG6" s="12" t="s">
        <v>12</v>
      </c>
      <c r="CH6" s="12" t="s">
        <v>13</v>
      </c>
      <c r="CI6" s="12" t="s">
        <v>2</v>
      </c>
      <c r="CJ6" s="12" t="s">
        <v>3</v>
      </c>
      <c r="CK6" s="12" t="s">
        <v>4</v>
      </c>
      <c r="CL6" s="12" t="s">
        <v>5</v>
      </c>
      <c r="CM6" s="12" t="s">
        <v>6</v>
      </c>
      <c r="CN6" s="12" t="s">
        <v>7</v>
      </c>
      <c r="CO6" s="12" t="s">
        <v>8</v>
      </c>
      <c r="CP6" s="12" t="s">
        <v>9</v>
      </c>
      <c r="CQ6" s="12" t="s">
        <v>10</v>
      </c>
      <c r="CR6" s="12" t="s">
        <v>11</v>
      </c>
      <c r="CS6" s="12" t="s">
        <v>12</v>
      </c>
      <c r="CT6" s="12" t="s">
        <v>13</v>
      </c>
    </row>
    <row r="7" spans="1:98" x14ac:dyDescent="0.3">
      <c r="A7" s="13" t="s">
        <v>1</v>
      </c>
      <c r="B7" s="13"/>
      <c r="C7" s="14">
        <v>2023</v>
      </c>
      <c r="D7" s="15">
        <v>2023</v>
      </c>
      <c r="E7" s="15">
        <v>2023</v>
      </c>
      <c r="F7" s="15">
        <v>2023</v>
      </c>
      <c r="G7" s="15">
        <v>2023</v>
      </c>
      <c r="H7" s="15">
        <v>2023</v>
      </c>
      <c r="I7" s="15">
        <v>2023</v>
      </c>
      <c r="J7" s="15">
        <v>2023</v>
      </c>
      <c r="K7" s="15">
        <v>2023</v>
      </c>
      <c r="L7" s="15">
        <v>2023</v>
      </c>
      <c r="M7" s="15">
        <v>2023</v>
      </c>
      <c r="N7" s="16">
        <v>2023</v>
      </c>
      <c r="O7" s="12">
        <f>C7+1</f>
        <v>2024</v>
      </c>
      <c r="P7" s="12">
        <f t="shared" ref="P7:Z7" si="5">D7+1</f>
        <v>2024</v>
      </c>
      <c r="Q7" s="12">
        <f t="shared" si="5"/>
        <v>2024</v>
      </c>
      <c r="R7" s="12">
        <f t="shared" si="5"/>
        <v>2024</v>
      </c>
      <c r="S7" s="12">
        <f t="shared" si="5"/>
        <v>2024</v>
      </c>
      <c r="T7" s="12">
        <f t="shared" si="5"/>
        <v>2024</v>
      </c>
      <c r="U7" s="12">
        <f t="shared" si="5"/>
        <v>2024</v>
      </c>
      <c r="V7" s="12">
        <f t="shared" si="5"/>
        <v>2024</v>
      </c>
      <c r="W7" s="12">
        <f t="shared" si="5"/>
        <v>2024</v>
      </c>
      <c r="X7" s="12">
        <f t="shared" si="5"/>
        <v>2024</v>
      </c>
      <c r="Y7" s="12">
        <f t="shared" si="5"/>
        <v>2024</v>
      </c>
      <c r="Z7" s="12">
        <f t="shared" si="5"/>
        <v>2024</v>
      </c>
      <c r="AA7" s="12">
        <f>O7+1</f>
        <v>2025</v>
      </c>
      <c r="AB7" s="12">
        <f t="shared" ref="AB7" si="6">P7+1</f>
        <v>2025</v>
      </c>
      <c r="AC7" s="12">
        <f t="shared" ref="AC7" si="7">Q7+1</f>
        <v>2025</v>
      </c>
      <c r="AD7" s="12">
        <f t="shared" ref="AD7" si="8">R7+1</f>
        <v>2025</v>
      </c>
      <c r="AE7" s="12">
        <f t="shared" ref="AE7" si="9">S7+1</f>
        <v>2025</v>
      </c>
      <c r="AF7" s="12">
        <f t="shared" ref="AF7" si="10">T7+1</f>
        <v>2025</v>
      </c>
      <c r="AG7" s="12">
        <f t="shared" ref="AG7" si="11">U7+1</f>
        <v>2025</v>
      </c>
      <c r="AH7" s="12">
        <f t="shared" ref="AH7" si="12">V7+1</f>
        <v>2025</v>
      </c>
      <c r="AI7" s="12">
        <f t="shared" ref="AI7" si="13">W7+1</f>
        <v>2025</v>
      </c>
      <c r="AJ7" s="12">
        <f t="shared" ref="AJ7" si="14">X7+1</f>
        <v>2025</v>
      </c>
      <c r="AK7" s="12">
        <f t="shared" ref="AK7" si="15">Y7+1</f>
        <v>2025</v>
      </c>
      <c r="AL7" s="12">
        <f t="shared" ref="AL7" si="16">Z7+1</f>
        <v>2025</v>
      </c>
      <c r="AM7" s="12">
        <f>AA7+1</f>
        <v>2026</v>
      </c>
      <c r="AN7" s="12">
        <f t="shared" ref="AN7" si="17">AB7+1</f>
        <v>2026</v>
      </c>
      <c r="AO7" s="12">
        <f t="shared" ref="AO7" si="18">AC7+1</f>
        <v>2026</v>
      </c>
      <c r="AP7" s="12">
        <f t="shared" ref="AP7" si="19">AD7+1</f>
        <v>2026</v>
      </c>
      <c r="AQ7" s="12">
        <f t="shared" ref="AQ7" si="20">AE7+1</f>
        <v>2026</v>
      </c>
      <c r="AR7" s="12">
        <f t="shared" ref="AR7" si="21">AF7+1</f>
        <v>2026</v>
      </c>
      <c r="AS7" s="12">
        <f t="shared" ref="AS7" si="22">AG7+1</f>
        <v>2026</v>
      </c>
      <c r="AT7" s="12">
        <f t="shared" ref="AT7" si="23">AH7+1</f>
        <v>2026</v>
      </c>
      <c r="AU7" s="12">
        <f t="shared" ref="AU7" si="24">AI7+1</f>
        <v>2026</v>
      </c>
      <c r="AV7" s="12">
        <f t="shared" ref="AV7" si="25">AJ7+1</f>
        <v>2026</v>
      </c>
      <c r="AW7" s="12">
        <f t="shared" ref="AW7" si="26">AK7+1</f>
        <v>2026</v>
      </c>
      <c r="AX7" s="12">
        <f t="shared" ref="AX7" si="27">AL7+1</f>
        <v>2026</v>
      </c>
      <c r="AY7" s="12">
        <f>AM7+1</f>
        <v>2027</v>
      </c>
      <c r="AZ7" s="12">
        <f t="shared" ref="AZ7" si="28">AN7+1</f>
        <v>2027</v>
      </c>
      <c r="BA7" s="12">
        <f t="shared" ref="BA7" si="29">AO7+1</f>
        <v>2027</v>
      </c>
      <c r="BB7" s="12">
        <f t="shared" ref="BB7" si="30">AP7+1</f>
        <v>2027</v>
      </c>
      <c r="BC7" s="12">
        <f t="shared" ref="BC7" si="31">AQ7+1</f>
        <v>2027</v>
      </c>
      <c r="BD7" s="12">
        <f t="shared" ref="BD7" si="32">AR7+1</f>
        <v>2027</v>
      </c>
      <c r="BE7" s="12">
        <f t="shared" ref="BE7" si="33">AS7+1</f>
        <v>2027</v>
      </c>
      <c r="BF7" s="12">
        <f t="shared" ref="BF7" si="34">AT7+1</f>
        <v>2027</v>
      </c>
      <c r="BG7" s="12">
        <f t="shared" ref="BG7" si="35">AU7+1</f>
        <v>2027</v>
      </c>
      <c r="BH7" s="12">
        <f t="shared" ref="BH7" si="36">AV7+1</f>
        <v>2027</v>
      </c>
      <c r="BI7" s="12">
        <f t="shared" ref="BI7" si="37">AW7+1</f>
        <v>2027</v>
      </c>
      <c r="BJ7" s="12">
        <f t="shared" ref="BJ7" si="38">AX7+1</f>
        <v>2027</v>
      </c>
      <c r="BK7" s="12">
        <f>AY7+1</f>
        <v>2028</v>
      </c>
      <c r="BL7" s="12">
        <f t="shared" ref="BL7" si="39">AZ7+1</f>
        <v>2028</v>
      </c>
      <c r="BM7" s="12">
        <f t="shared" ref="BM7" si="40">BA7+1</f>
        <v>2028</v>
      </c>
      <c r="BN7" s="12">
        <f t="shared" ref="BN7" si="41">BB7+1</f>
        <v>2028</v>
      </c>
      <c r="BO7" s="12">
        <f t="shared" ref="BO7" si="42">BC7+1</f>
        <v>2028</v>
      </c>
      <c r="BP7" s="12">
        <f t="shared" ref="BP7" si="43">BD7+1</f>
        <v>2028</v>
      </c>
      <c r="BQ7" s="12">
        <f t="shared" ref="BQ7" si="44">BE7+1</f>
        <v>2028</v>
      </c>
      <c r="BR7" s="12">
        <f t="shared" ref="BR7" si="45">BF7+1</f>
        <v>2028</v>
      </c>
      <c r="BS7" s="12">
        <f t="shared" ref="BS7" si="46">BG7+1</f>
        <v>2028</v>
      </c>
      <c r="BT7" s="12">
        <f t="shared" ref="BT7" si="47">BH7+1</f>
        <v>2028</v>
      </c>
      <c r="BU7" s="12">
        <f t="shared" ref="BU7" si="48">BI7+1</f>
        <v>2028</v>
      </c>
      <c r="BV7" s="12">
        <f t="shared" ref="BV7" si="49">BJ7+1</f>
        <v>2028</v>
      </c>
      <c r="BW7" s="12">
        <f>BK7+1</f>
        <v>2029</v>
      </c>
      <c r="BX7" s="12">
        <f t="shared" ref="BX7" si="50">BL7+1</f>
        <v>2029</v>
      </c>
      <c r="BY7" s="12">
        <f t="shared" ref="BY7" si="51">BM7+1</f>
        <v>2029</v>
      </c>
      <c r="BZ7" s="12">
        <f t="shared" ref="BZ7" si="52">BN7+1</f>
        <v>2029</v>
      </c>
      <c r="CA7" s="12">
        <f t="shared" ref="CA7" si="53">BO7+1</f>
        <v>2029</v>
      </c>
      <c r="CB7" s="12">
        <f t="shared" ref="CB7" si="54">BP7+1</f>
        <v>2029</v>
      </c>
      <c r="CC7" s="12">
        <f t="shared" ref="CC7" si="55">BQ7+1</f>
        <v>2029</v>
      </c>
      <c r="CD7" s="12">
        <f t="shared" ref="CD7" si="56">BR7+1</f>
        <v>2029</v>
      </c>
      <c r="CE7" s="12">
        <f t="shared" ref="CE7" si="57">BS7+1</f>
        <v>2029</v>
      </c>
      <c r="CF7" s="12">
        <f t="shared" ref="CF7" si="58">BT7+1</f>
        <v>2029</v>
      </c>
      <c r="CG7" s="12">
        <f t="shared" ref="CG7" si="59">BU7+1</f>
        <v>2029</v>
      </c>
      <c r="CH7" s="12">
        <f t="shared" ref="CH7" si="60">BV7+1</f>
        <v>2029</v>
      </c>
      <c r="CI7" s="12">
        <f>BW7+1</f>
        <v>2030</v>
      </c>
      <c r="CJ7" s="12">
        <f t="shared" ref="CJ7" si="61">BX7+1</f>
        <v>2030</v>
      </c>
      <c r="CK7" s="12">
        <f t="shared" ref="CK7" si="62">BY7+1</f>
        <v>2030</v>
      </c>
      <c r="CL7" s="12">
        <f t="shared" ref="CL7" si="63">BZ7+1</f>
        <v>2030</v>
      </c>
      <c r="CM7" s="12">
        <f t="shared" ref="CM7" si="64">CA7+1</f>
        <v>2030</v>
      </c>
      <c r="CN7" s="12">
        <f t="shared" ref="CN7" si="65">CB7+1</f>
        <v>2030</v>
      </c>
      <c r="CO7" s="12">
        <f t="shared" ref="CO7" si="66">CC7+1</f>
        <v>2030</v>
      </c>
      <c r="CP7" s="12">
        <f t="shared" ref="CP7" si="67">CD7+1</f>
        <v>2030</v>
      </c>
      <c r="CQ7" s="12">
        <f t="shared" ref="CQ7" si="68">CE7+1</f>
        <v>2030</v>
      </c>
      <c r="CR7" s="12">
        <f t="shared" ref="CR7" si="69">CF7+1</f>
        <v>2030</v>
      </c>
      <c r="CS7" s="12">
        <f t="shared" ref="CS7" si="70">CG7+1</f>
        <v>2030</v>
      </c>
      <c r="CT7" s="12">
        <f t="shared" ref="CT7" si="71">CH7+1</f>
        <v>2030</v>
      </c>
    </row>
    <row r="9" spans="1:98" x14ac:dyDescent="0.3">
      <c r="A9" s="17" t="s">
        <v>14</v>
      </c>
      <c r="B9" s="17"/>
      <c r="C9" s="2">
        <v>332000000</v>
      </c>
      <c r="D9" s="2">
        <f>C9*(1+0.1%)</f>
        <v>332331999.99999994</v>
      </c>
      <c r="E9" s="2">
        <f t="shared" ref="E9:N9" si="72">D9*(1+0.1%)</f>
        <v>332664331.99999988</v>
      </c>
      <c r="F9" s="2">
        <f t="shared" si="72"/>
        <v>332996996.33199984</v>
      </c>
      <c r="G9" s="2">
        <f t="shared" si="72"/>
        <v>333329993.32833183</v>
      </c>
      <c r="H9" s="2">
        <f t="shared" si="72"/>
        <v>333663323.3216601</v>
      </c>
      <c r="I9" s="2">
        <f t="shared" si="72"/>
        <v>333996986.64498174</v>
      </c>
      <c r="J9" s="2">
        <f t="shared" si="72"/>
        <v>334330983.63162667</v>
      </c>
      <c r="K9" s="2">
        <f t="shared" si="72"/>
        <v>334665314.61525828</v>
      </c>
      <c r="L9" s="2">
        <f t="shared" si="72"/>
        <v>334999979.92987353</v>
      </c>
      <c r="M9" s="2">
        <f t="shared" si="72"/>
        <v>335334979.90980339</v>
      </c>
      <c r="N9" s="2">
        <f t="shared" si="72"/>
        <v>335670314.88971317</v>
      </c>
    </row>
    <row r="10" spans="1:98" x14ac:dyDescent="0.3">
      <c r="A10" s="8" t="s">
        <v>16</v>
      </c>
      <c r="B10" s="8"/>
      <c r="C10" s="3">
        <v>4.0000000000000002E-4</v>
      </c>
      <c r="D10" s="3">
        <v>4.0000000000000002E-4</v>
      </c>
      <c r="E10" s="3">
        <v>4.0000000000000002E-4</v>
      </c>
      <c r="F10" s="3">
        <v>4.0000000000000002E-4</v>
      </c>
      <c r="G10" s="3">
        <v>4.0000000000000002E-4</v>
      </c>
      <c r="H10" s="3">
        <v>4.0000000000000002E-4</v>
      </c>
      <c r="I10" s="3">
        <v>4.0000000000000002E-4</v>
      </c>
      <c r="J10" s="3">
        <v>4.0000000000000002E-4</v>
      </c>
      <c r="K10" s="3">
        <v>4.0000000000000002E-4</v>
      </c>
      <c r="L10" s="3">
        <v>4.0000000000000002E-4</v>
      </c>
      <c r="M10" s="3">
        <v>4.0000000000000002E-4</v>
      </c>
      <c r="N10" s="3">
        <v>4.0000000000000002E-4</v>
      </c>
    </row>
    <row r="11" spans="1:98" x14ac:dyDescent="0.3">
      <c r="A11" s="7" t="s">
        <v>17</v>
      </c>
      <c r="C11" s="2">
        <f>C10*C9</f>
        <v>132800</v>
      </c>
      <c r="D11" s="2">
        <f t="shared" ref="D11:N11" si="73">D10*D9</f>
        <v>132932.79999999999</v>
      </c>
      <c r="E11" s="2">
        <f t="shared" si="73"/>
        <v>133065.73279999997</v>
      </c>
      <c r="F11" s="2">
        <f t="shared" si="73"/>
        <v>133198.79853279993</v>
      </c>
      <c r="G11" s="2">
        <f t="shared" si="73"/>
        <v>133331.99733133274</v>
      </c>
      <c r="H11" s="2">
        <f t="shared" si="73"/>
        <v>133465.32932866405</v>
      </c>
      <c r="I11" s="2">
        <f t="shared" si="73"/>
        <v>133598.79465799269</v>
      </c>
      <c r="J11" s="2">
        <f t="shared" si="73"/>
        <v>133732.39345265066</v>
      </c>
      <c r="K11" s="2">
        <f t="shared" si="73"/>
        <v>133866.12584610333</v>
      </c>
      <c r="L11" s="2">
        <f t="shared" si="73"/>
        <v>133999.99197194941</v>
      </c>
      <c r="M11" s="2">
        <f t="shared" si="73"/>
        <v>134133.99196392138</v>
      </c>
      <c r="N11" s="2">
        <f t="shared" si="73"/>
        <v>134268.12595588528</v>
      </c>
    </row>
    <row r="12" spans="1:98" x14ac:dyDescent="0.3">
      <c r="A12" s="8" t="s">
        <v>18</v>
      </c>
      <c r="B12" s="8"/>
      <c r="C12" s="4">
        <v>0.95</v>
      </c>
      <c r="D12" s="4">
        <v>0.95</v>
      </c>
      <c r="E12" s="4">
        <v>0.95</v>
      </c>
      <c r="F12" s="4">
        <v>0.95</v>
      </c>
      <c r="G12" s="4">
        <v>0.95</v>
      </c>
      <c r="H12" s="4">
        <v>0.95</v>
      </c>
      <c r="I12" s="4">
        <v>0.95</v>
      </c>
      <c r="J12" s="4">
        <v>0.95</v>
      </c>
      <c r="K12" s="4">
        <v>0.95</v>
      </c>
      <c r="L12" s="4">
        <v>0.95</v>
      </c>
      <c r="M12" s="4">
        <v>0.95</v>
      </c>
      <c r="N12" s="4">
        <v>0.95</v>
      </c>
    </row>
    <row r="13" spans="1:98" x14ac:dyDescent="0.3">
      <c r="A13" s="7" t="s">
        <v>19</v>
      </c>
      <c r="C13" s="2">
        <f>C12*C11</f>
        <v>126160</v>
      </c>
      <c r="D13" s="2">
        <f t="shared" ref="D13:N13" si="74">D12*D11</f>
        <v>126286.15999999999</v>
      </c>
      <c r="E13" s="2">
        <f t="shared" si="74"/>
        <v>126412.44615999996</v>
      </c>
      <c r="F13" s="2">
        <f t="shared" si="74"/>
        <v>126538.85860615993</v>
      </c>
      <c r="G13" s="2">
        <f t="shared" si="74"/>
        <v>126665.39746476609</v>
      </c>
      <c r="H13" s="2">
        <f t="shared" si="74"/>
        <v>126792.06286223084</v>
      </c>
      <c r="I13" s="2">
        <f t="shared" si="74"/>
        <v>126918.85492509305</v>
      </c>
      <c r="J13" s="2">
        <f t="shared" si="74"/>
        <v>127045.77378001812</v>
      </c>
      <c r="K13" s="2">
        <f t="shared" si="74"/>
        <v>127172.81955379815</v>
      </c>
      <c r="L13" s="2">
        <f t="shared" si="74"/>
        <v>127299.99237335192</v>
      </c>
      <c r="M13" s="2">
        <f t="shared" si="74"/>
        <v>127427.2923657253</v>
      </c>
      <c r="N13" s="2">
        <f t="shared" si="74"/>
        <v>127554.71965809101</v>
      </c>
    </row>
    <row r="14" spans="1:98" x14ac:dyDescent="0.3">
      <c r="C14" s="1"/>
      <c r="D14" s="1"/>
      <c r="E14" s="1"/>
      <c r="F14" s="1"/>
      <c r="G14" s="1"/>
      <c r="H14" s="1"/>
      <c r="I14" s="1"/>
      <c r="J14" s="1"/>
      <c r="K14" s="1"/>
      <c r="L14" s="1"/>
      <c r="M14" s="1"/>
      <c r="N14" s="1"/>
    </row>
    <row r="15" spans="1:98" x14ac:dyDescent="0.3">
      <c r="A15" s="19" t="s">
        <v>20</v>
      </c>
      <c r="B15" s="19"/>
      <c r="C15" s="1"/>
      <c r="D15" s="1"/>
      <c r="E15" s="1"/>
      <c r="F15" s="1"/>
      <c r="G15" s="1"/>
      <c r="H15" s="1"/>
      <c r="I15" s="1"/>
      <c r="J15" s="1"/>
      <c r="K15" s="1"/>
      <c r="L15" s="1"/>
      <c r="M15" s="1"/>
      <c r="N15" s="1"/>
    </row>
    <row r="16" spans="1:98" x14ac:dyDescent="0.3">
      <c r="A16" s="8" t="s">
        <v>21</v>
      </c>
      <c r="B16" s="8"/>
      <c r="C16" s="4">
        <v>0.8</v>
      </c>
      <c r="D16" s="4">
        <v>0.8</v>
      </c>
      <c r="E16" s="4">
        <v>0.8</v>
      </c>
      <c r="F16" s="4">
        <v>0.8</v>
      </c>
      <c r="G16" s="4">
        <v>0.8</v>
      </c>
      <c r="H16" s="4">
        <v>0.8</v>
      </c>
      <c r="I16" s="4">
        <v>0.8</v>
      </c>
      <c r="J16" s="4">
        <v>0.8</v>
      </c>
      <c r="K16" s="4">
        <v>0.8</v>
      </c>
      <c r="L16" s="4">
        <v>0.8</v>
      </c>
      <c r="M16" s="4">
        <v>0.8</v>
      </c>
      <c r="N16" s="4">
        <v>0.8</v>
      </c>
    </row>
    <row r="17" spans="1:14" x14ac:dyDescent="0.3">
      <c r="A17" s="8" t="s">
        <v>22</v>
      </c>
      <c r="B17" s="8"/>
      <c r="C17" s="4">
        <v>0.15</v>
      </c>
      <c r="D17" s="4">
        <v>0.15</v>
      </c>
      <c r="E17" s="4">
        <v>0.15</v>
      </c>
      <c r="F17" s="4">
        <v>0.15</v>
      </c>
      <c r="G17" s="4">
        <v>0.15</v>
      </c>
      <c r="H17" s="4">
        <v>0.15</v>
      </c>
      <c r="I17" s="4">
        <v>0.15</v>
      </c>
      <c r="J17" s="4">
        <v>0.15</v>
      </c>
      <c r="K17" s="4">
        <v>0.15</v>
      </c>
      <c r="L17" s="4">
        <v>0.15</v>
      </c>
      <c r="M17" s="4">
        <v>0.15</v>
      </c>
      <c r="N17" s="4">
        <v>0.15</v>
      </c>
    </row>
    <row r="18" spans="1:14" x14ac:dyDescent="0.3">
      <c r="A18" s="8" t="s">
        <v>23</v>
      </c>
      <c r="B18" s="8"/>
      <c r="C18" s="4">
        <v>0.05</v>
      </c>
      <c r="D18" s="4">
        <v>0.05</v>
      </c>
      <c r="E18" s="4">
        <v>0.05</v>
      </c>
      <c r="F18" s="4">
        <v>0.05</v>
      </c>
      <c r="G18" s="4">
        <v>0.05</v>
      </c>
      <c r="H18" s="4">
        <v>0.05</v>
      </c>
      <c r="I18" s="4">
        <v>0.05</v>
      </c>
      <c r="J18" s="4">
        <v>0.05</v>
      </c>
      <c r="K18" s="4">
        <v>0.05</v>
      </c>
      <c r="L18" s="4">
        <v>0.05</v>
      </c>
      <c r="M18" s="4">
        <v>0.05</v>
      </c>
      <c r="N18" s="4">
        <v>0.05</v>
      </c>
    </row>
    <row r="19" spans="1:14" x14ac:dyDescent="0.3">
      <c r="C19" s="1"/>
      <c r="D19" s="1"/>
      <c r="E19" s="1"/>
      <c r="F19" s="1"/>
      <c r="G19" s="1"/>
      <c r="H19" s="1"/>
      <c r="I19" s="1"/>
      <c r="J19" s="1"/>
      <c r="K19" s="1"/>
      <c r="L19" s="1"/>
      <c r="M19" s="1"/>
      <c r="N19" s="1"/>
    </row>
    <row r="20" spans="1:14" x14ac:dyDescent="0.3">
      <c r="A20" s="7" t="s">
        <v>24</v>
      </c>
      <c r="C20" s="1"/>
      <c r="D20" s="1"/>
      <c r="E20" s="1"/>
      <c r="F20" s="1"/>
      <c r="G20" s="1"/>
      <c r="H20" s="1"/>
      <c r="I20" s="1"/>
      <c r="J20" s="1"/>
      <c r="K20" s="1"/>
      <c r="L20" s="1"/>
      <c r="M20" s="1"/>
      <c r="N20" s="1"/>
    </row>
    <row r="21" spans="1:14" x14ac:dyDescent="0.3">
      <c r="A21" s="7" t="s">
        <v>21</v>
      </c>
      <c r="C21" s="5">
        <f t="shared" ref="C21:N21" si="75">VLOOKUP($A$21,$A$16:$N$19,C$4,FALSE)</f>
        <v>0.8</v>
      </c>
      <c r="D21" s="5">
        <f t="shared" si="75"/>
        <v>0.8</v>
      </c>
      <c r="E21" s="5">
        <f t="shared" si="75"/>
        <v>0.8</v>
      </c>
      <c r="F21" s="5">
        <f t="shared" si="75"/>
        <v>0.8</v>
      </c>
      <c r="G21" s="5">
        <f t="shared" si="75"/>
        <v>0.8</v>
      </c>
      <c r="H21" s="5">
        <f t="shared" si="75"/>
        <v>0.8</v>
      </c>
      <c r="I21" s="5">
        <f t="shared" si="75"/>
        <v>0.8</v>
      </c>
      <c r="J21" s="5">
        <f t="shared" si="75"/>
        <v>0.8</v>
      </c>
      <c r="K21" s="5">
        <f t="shared" si="75"/>
        <v>0.8</v>
      </c>
      <c r="L21" s="5">
        <f t="shared" si="75"/>
        <v>0.8</v>
      </c>
      <c r="M21" s="5">
        <f t="shared" si="75"/>
        <v>0.8</v>
      </c>
      <c r="N21" s="5">
        <f t="shared" si="75"/>
        <v>0.8</v>
      </c>
    </row>
    <row r="22" spans="1:14" x14ac:dyDescent="0.3">
      <c r="A22" s="5"/>
      <c r="B22" s="5"/>
      <c r="C22" s="5"/>
      <c r="D22" s="5"/>
      <c r="E22" s="5"/>
      <c r="F22" s="5"/>
      <c r="G22" s="5"/>
      <c r="H22" s="5"/>
      <c r="I22" s="5"/>
      <c r="J22" s="5"/>
      <c r="K22" s="5"/>
      <c r="L22" s="5"/>
      <c r="M22" s="5"/>
    </row>
    <row r="23" spans="1:14" x14ac:dyDescent="0.3">
      <c r="A23" s="20" t="str">
        <f>"Selected"&amp;" "&amp;A21&amp;" "&amp;"Patients"</f>
        <v>Selected Sub-type 1 (NSCLC) Patients</v>
      </c>
      <c r="B23" s="20"/>
      <c r="C23" s="21">
        <f>$C$21*C$13</f>
        <v>100928</v>
      </c>
      <c r="D23" s="21">
        <f t="shared" ref="D23:N23" si="76">$C$21*D$13</f>
        <v>101028.928</v>
      </c>
      <c r="E23" s="21">
        <f t="shared" si="76"/>
        <v>101129.95692799997</v>
      </c>
      <c r="F23" s="21">
        <f t="shared" si="76"/>
        <v>101231.08688492795</v>
      </c>
      <c r="G23" s="21">
        <f t="shared" si="76"/>
        <v>101332.31797181288</v>
      </c>
      <c r="H23" s="21">
        <f t="shared" si="76"/>
        <v>101433.65028978468</v>
      </c>
      <c r="I23" s="21">
        <f t="shared" si="76"/>
        <v>101535.08394007444</v>
      </c>
      <c r="J23" s="21">
        <f t="shared" si="76"/>
        <v>101636.61902401451</v>
      </c>
      <c r="K23" s="21">
        <f t="shared" si="76"/>
        <v>101738.25564303853</v>
      </c>
      <c r="L23" s="21">
        <f t="shared" si="76"/>
        <v>101839.99389868154</v>
      </c>
      <c r="M23" s="21">
        <f t="shared" si="76"/>
        <v>101941.83389258024</v>
      </c>
      <c r="N23" s="21">
        <f t="shared" si="76"/>
        <v>102043.77572647281</v>
      </c>
    </row>
    <row r="24" spans="1:14" x14ac:dyDescent="0.3">
      <c r="C24" s="1"/>
      <c r="D24" s="1"/>
      <c r="E24" s="1"/>
      <c r="F24" s="1"/>
      <c r="G24" s="1"/>
      <c r="H24" s="1"/>
      <c r="I24" s="1"/>
      <c r="J24" s="1"/>
      <c r="K24" s="1"/>
      <c r="L24" s="1"/>
      <c r="M24" s="1"/>
      <c r="N24" s="1"/>
    </row>
    <row r="25" spans="1:14" x14ac:dyDescent="0.3">
      <c r="A25" s="19" t="s">
        <v>25</v>
      </c>
      <c r="B25" s="19"/>
      <c r="C25" s="1"/>
      <c r="D25" s="1"/>
      <c r="E25" s="1"/>
      <c r="F25" s="1"/>
      <c r="G25" s="1"/>
      <c r="H25" s="1"/>
      <c r="I25" s="1"/>
      <c r="J25" s="1"/>
      <c r="K25" s="1"/>
      <c r="L25" s="1"/>
      <c r="M25" s="1"/>
      <c r="N25" s="1"/>
    </row>
    <row r="26" spans="1:14" x14ac:dyDescent="0.3">
      <c r="A26" s="8" t="s">
        <v>26</v>
      </c>
      <c r="B26" s="8"/>
      <c r="C26" s="4">
        <v>0.15</v>
      </c>
      <c r="D26" s="4">
        <v>0.15</v>
      </c>
      <c r="E26" s="4">
        <v>0.15</v>
      </c>
      <c r="F26" s="4">
        <v>0.15</v>
      </c>
      <c r="G26" s="4">
        <v>0.15</v>
      </c>
      <c r="H26" s="4">
        <v>0.15</v>
      </c>
      <c r="I26" s="4">
        <v>0.15</v>
      </c>
      <c r="J26" s="4">
        <v>0.15</v>
      </c>
      <c r="K26" s="4">
        <v>0.15</v>
      </c>
      <c r="L26" s="4">
        <v>0.15</v>
      </c>
      <c r="M26" s="4">
        <v>0.15</v>
      </c>
      <c r="N26" s="4">
        <v>0.15</v>
      </c>
    </row>
    <row r="27" spans="1:14" x14ac:dyDescent="0.3">
      <c r="A27" s="8" t="s">
        <v>27</v>
      </c>
      <c r="B27" s="8"/>
      <c r="C27" s="4">
        <v>0.2</v>
      </c>
      <c r="D27" s="4">
        <v>0.2</v>
      </c>
      <c r="E27" s="4">
        <v>0.2</v>
      </c>
      <c r="F27" s="4">
        <v>0.2</v>
      </c>
      <c r="G27" s="4">
        <v>0.2</v>
      </c>
      <c r="H27" s="4">
        <v>0.2</v>
      </c>
      <c r="I27" s="4">
        <v>0.2</v>
      </c>
      <c r="J27" s="4">
        <v>0.2</v>
      </c>
      <c r="K27" s="4">
        <v>0.2</v>
      </c>
      <c r="L27" s="4">
        <v>0.2</v>
      </c>
      <c r="M27" s="4">
        <v>0.2</v>
      </c>
      <c r="N27" s="4">
        <v>0.2</v>
      </c>
    </row>
    <row r="28" spans="1:14" x14ac:dyDescent="0.3">
      <c r="A28" s="8" t="s">
        <v>28</v>
      </c>
      <c r="B28" s="8"/>
      <c r="C28" s="4">
        <v>0.25</v>
      </c>
      <c r="D28" s="4">
        <v>0.25</v>
      </c>
      <c r="E28" s="4">
        <v>0.25</v>
      </c>
      <c r="F28" s="4">
        <v>0.25</v>
      </c>
      <c r="G28" s="4">
        <v>0.25</v>
      </c>
      <c r="H28" s="4">
        <v>0.25</v>
      </c>
      <c r="I28" s="4">
        <v>0.25</v>
      </c>
      <c r="J28" s="4">
        <v>0.25</v>
      </c>
      <c r="K28" s="4">
        <v>0.25</v>
      </c>
      <c r="L28" s="4">
        <v>0.25</v>
      </c>
      <c r="M28" s="4">
        <v>0.25</v>
      </c>
      <c r="N28" s="4">
        <v>0.25</v>
      </c>
    </row>
    <row r="29" spans="1:14" x14ac:dyDescent="0.3">
      <c r="A29" s="8" t="s">
        <v>29</v>
      </c>
      <c r="B29" s="8"/>
      <c r="C29" s="4">
        <v>0.4</v>
      </c>
      <c r="D29" s="4">
        <v>0.4</v>
      </c>
      <c r="E29" s="4">
        <v>0.4</v>
      </c>
      <c r="F29" s="4">
        <v>0.4</v>
      </c>
      <c r="G29" s="4">
        <v>0.4</v>
      </c>
      <c r="H29" s="4">
        <v>0.4</v>
      </c>
      <c r="I29" s="4">
        <v>0.4</v>
      </c>
      <c r="J29" s="4">
        <v>0.4</v>
      </c>
      <c r="K29" s="4">
        <v>0.4</v>
      </c>
      <c r="L29" s="4">
        <v>0.4</v>
      </c>
      <c r="M29" s="4">
        <v>0.4</v>
      </c>
      <c r="N29" s="4">
        <v>0.4</v>
      </c>
    </row>
    <row r="31" spans="1:14" x14ac:dyDescent="0.3">
      <c r="A31" s="7" t="s">
        <v>31</v>
      </c>
      <c r="C31" s="2">
        <f>C26*C$23</f>
        <v>15139.199999999999</v>
      </c>
      <c r="D31" s="2">
        <f t="shared" ref="D31:N31" si="77">D26*D$23</f>
        <v>15154.339199999999</v>
      </c>
      <c r="E31" s="2">
        <f t="shared" si="77"/>
        <v>15169.493539199995</v>
      </c>
      <c r="F31" s="2">
        <f t="shared" si="77"/>
        <v>15184.663032739192</v>
      </c>
      <c r="G31" s="2">
        <f t="shared" si="77"/>
        <v>15199.847695771932</v>
      </c>
      <c r="H31" s="2">
        <f t="shared" si="77"/>
        <v>15215.047543467701</v>
      </c>
      <c r="I31" s="2">
        <f t="shared" si="77"/>
        <v>15230.262591011166</v>
      </c>
      <c r="J31" s="2">
        <f t="shared" si="77"/>
        <v>15245.492853602176</v>
      </c>
      <c r="K31" s="2">
        <f t="shared" si="77"/>
        <v>15260.738346455779</v>
      </c>
      <c r="L31" s="2">
        <f t="shared" si="77"/>
        <v>15275.99908480223</v>
      </c>
      <c r="M31" s="2">
        <f t="shared" si="77"/>
        <v>15291.275083887034</v>
      </c>
      <c r="N31" s="2">
        <f t="shared" si="77"/>
        <v>15306.566358970922</v>
      </c>
    </row>
    <row r="32" spans="1:14" x14ac:dyDescent="0.3">
      <c r="A32" s="7" t="s">
        <v>32</v>
      </c>
      <c r="C32" s="2">
        <f t="shared" ref="C32:N32" si="78">C27*C$23</f>
        <v>20185.600000000002</v>
      </c>
      <c r="D32" s="2">
        <f t="shared" si="78"/>
        <v>20205.785600000003</v>
      </c>
      <c r="E32" s="2">
        <f t="shared" si="78"/>
        <v>20225.991385599995</v>
      </c>
      <c r="F32" s="2">
        <f t="shared" si="78"/>
        <v>20246.217376985591</v>
      </c>
      <c r="G32" s="2">
        <f t="shared" si="78"/>
        <v>20266.463594362576</v>
      </c>
      <c r="H32" s="2">
        <f t="shared" si="78"/>
        <v>20286.730057956938</v>
      </c>
      <c r="I32" s="2">
        <f t="shared" si="78"/>
        <v>20307.016788014891</v>
      </c>
      <c r="J32" s="2">
        <f t="shared" si="78"/>
        <v>20327.323804802902</v>
      </c>
      <c r="K32" s="2">
        <f t="shared" si="78"/>
        <v>20347.651128607708</v>
      </c>
      <c r="L32" s="2">
        <f t="shared" si="78"/>
        <v>20367.99877973631</v>
      </c>
      <c r="M32" s="2">
        <f t="shared" si="78"/>
        <v>20388.366778516051</v>
      </c>
      <c r="N32" s="2">
        <f t="shared" si="78"/>
        <v>20408.755145294563</v>
      </c>
    </row>
    <row r="33" spans="1:14" x14ac:dyDescent="0.3">
      <c r="A33" s="7" t="s">
        <v>33</v>
      </c>
      <c r="C33" s="2">
        <f t="shared" ref="C33:N33" si="79">C28*C$23</f>
        <v>25232</v>
      </c>
      <c r="D33" s="2">
        <f t="shared" si="79"/>
        <v>25257.232</v>
      </c>
      <c r="E33" s="2">
        <f t="shared" si="79"/>
        <v>25282.489231999993</v>
      </c>
      <c r="F33" s="2">
        <f t="shared" si="79"/>
        <v>25307.771721231988</v>
      </c>
      <c r="G33" s="2">
        <f t="shared" si="79"/>
        <v>25333.07949295322</v>
      </c>
      <c r="H33" s="2">
        <f t="shared" si="79"/>
        <v>25358.41257244617</v>
      </c>
      <c r="I33" s="2">
        <f t="shared" si="79"/>
        <v>25383.770985018611</v>
      </c>
      <c r="J33" s="2">
        <f t="shared" si="79"/>
        <v>25409.154756003627</v>
      </c>
      <c r="K33" s="2">
        <f t="shared" si="79"/>
        <v>25434.563910759633</v>
      </c>
      <c r="L33" s="2">
        <f t="shared" si="79"/>
        <v>25459.998474670385</v>
      </c>
      <c r="M33" s="2">
        <f t="shared" si="79"/>
        <v>25485.45847314506</v>
      </c>
      <c r="N33" s="2">
        <f t="shared" si="79"/>
        <v>25510.943931618203</v>
      </c>
    </row>
    <row r="34" spans="1:14" x14ac:dyDescent="0.3">
      <c r="A34" s="7" t="s">
        <v>34</v>
      </c>
      <c r="C34" s="2">
        <f t="shared" ref="C34:N34" si="80">C29*C$23</f>
        <v>40371.200000000004</v>
      </c>
      <c r="D34" s="2">
        <f t="shared" si="80"/>
        <v>40411.571200000006</v>
      </c>
      <c r="E34" s="2">
        <f t="shared" si="80"/>
        <v>40451.98277119999</v>
      </c>
      <c r="F34" s="2">
        <f t="shared" si="80"/>
        <v>40492.434753971182</v>
      </c>
      <c r="G34" s="2">
        <f t="shared" si="80"/>
        <v>40532.927188725153</v>
      </c>
      <c r="H34" s="2">
        <f t="shared" si="80"/>
        <v>40573.460115913877</v>
      </c>
      <c r="I34" s="2">
        <f t="shared" si="80"/>
        <v>40614.033576029782</v>
      </c>
      <c r="J34" s="2">
        <f t="shared" si="80"/>
        <v>40654.647609605803</v>
      </c>
      <c r="K34" s="2">
        <f t="shared" si="80"/>
        <v>40695.302257215415</v>
      </c>
      <c r="L34" s="2">
        <f t="shared" si="80"/>
        <v>40735.99755947262</v>
      </c>
      <c r="M34" s="2">
        <f t="shared" si="80"/>
        <v>40776.733557032101</v>
      </c>
      <c r="N34" s="2">
        <f t="shared" si="80"/>
        <v>40817.510290589125</v>
      </c>
    </row>
    <row r="36" spans="1:14" x14ac:dyDescent="0.3">
      <c r="A36" s="7" t="s">
        <v>30</v>
      </c>
    </row>
    <row r="37" spans="1:14" x14ac:dyDescent="0.3">
      <c r="A37" s="7" t="s">
        <v>29</v>
      </c>
      <c r="C37" s="5">
        <f t="shared" ref="C37:N37" si="81">VLOOKUP($A$37,$A$26:$N$29,C$4,FALSE)</f>
        <v>0.4</v>
      </c>
      <c r="D37" s="5">
        <f t="shared" si="81"/>
        <v>0.4</v>
      </c>
      <c r="E37" s="5">
        <f t="shared" si="81"/>
        <v>0.4</v>
      </c>
      <c r="F37" s="5">
        <f t="shared" si="81"/>
        <v>0.4</v>
      </c>
      <c r="G37" s="5">
        <f t="shared" si="81"/>
        <v>0.4</v>
      </c>
      <c r="H37" s="5">
        <f t="shared" si="81"/>
        <v>0.4</v>
      </c>
      <c r="I37" s="5">
        <f t="shared" si="81"/>
        <v>0.4</v>
      </c>
      <c r="J37" s="5">
        <f t="shared" si="81"/>
        <v>0.4</v>
      </c>
      <c r="K37" s="5">
        <f t="shared" si="81"/>
        <v>0.4</v>
      </c>
      <c r="L37" s="5">
        <f t="shared" si="81"/>
        <v>0.4</v>
      </c>
      <c r="M37" s="5">
        <f t="shared" si="81"/>
        <v>0.4</v>
      </c>
      <c r="N37" s="5">
        <f t="shared" si="81"/>
        <v>0.4</v>
      </c>
    </row>
    <row r="38" spans="1:14" x14ac:dyDescent="0.3">
      <c r="A38" s="7" t="str">
        <f>A37&amp;" "&amp;"Patients"</f>
        <v>Stage IV Patients</v>
      </c>
      <c r="C38" s="2">
        <f t="shared" ref="C38:N38" si="82">C$37*C$23</f>
        <v>40371.200000000004</v>
      </c>
      <c r="D38" s="2">
        <f t="shared" si="82"/>
        <v>40411.571200000006</v>
      </c>
      <c r="E38" s="2">
        <f t="shared" si="82"/>
        <v>40451.98277119999</v>
      </c>
      <c r="F38" s="2">
        <f t="shared" si="82"/>
        <v>40492.434753971182</v>
      </c>
      <c r="G38" s="2">
        <f t="shared" si="82"/>
        <v>40532.927188725153</v>
      </c>
      <c r="H38" s="2">
        <f t="shared" si="82"/>
        <v>40573.460115913877</v>
      </c>
      <c r="I38" s="2">
        <f t="shared" si="82"/>
        <v>40614.033576029782</v>
      </c>
      <c r="J38" s="2">
        <f t="shared" si="82"/>
        <v>40654.647609605803</v>
      </c>
      <c r="K38" s="2">
        <f t="shared" si="82"/>
        <v>40695.302257215415</v>
      </c>
      <c r="L38" s="2">
        <f t="shared" si="82"/>
        <v>40735.99755947262</v>
      </c>
      <c r="M38" s="2">
        <f t="shared" si="82"/>
        <v>40776.733557032101</v>
      </c>
      <c r="N38" s="2">
        <f t="shared" si="82"/>
        <v>40817.510290589125</v>
      </c>
    </row>
    <row r="40" spans="1:14" x14ac:dyDescent="0.3">
      <c r="A40" s="7" t="s">
        <v>36</v>
      </c>
      <c r="C40" s="18">
        <f>SUM(C31:C32)</f>
        <v>35324.800000000003</v>
      </c>
      <c r="D40" s="18">
        <f t="shared" ref="D40:N40" si="83">SUM(D31:D32)</f>
        <v>35360.124800000005</v>
      </c>
      <c r="E40" s="18">
        <f t="shared" si="83"/>
        <v>35395.484924799988</v>
      </c>
      <c r="F40" s="18">
        <f t="shared" si="83"/>
        <v>35430.880409724785</v>
      </c>
      <c r="G40" s="18">
        <f t="shared" si="83"/>
        <v>35466.311290134508</v>
      </c>
      <c r="H40" s="18">
        <f t="shared" si="83"/>
        <v>35501.777601424641</v>
      </c>
      <c r="I40" s="18">
        <f t="shared" si="83"/>
        <v>35537.279379026055</v>
      </c>
      <c r="J40" s="18">
        <f t="shared" si="83"/>
        <v>35572.816658405078</v>
      </c>
      <c r="K40" s="18">
        <f t="shared" si="83"/>
        <v>35608.389475063486</v>
      </c>
      <c r="L40" s="18">
        <f t="shared" si="83"/>
        <v>35643.997864538542</v>
      </c>
      <c r="M40" s="18">
        <f t="shared" si="83"/>
        <v>35679.641862403085</v>
      </c>
      <c r="N40" s="18">
        <f t="shared" si="83"/>
        <v>35715.321504265485</v>
      </c>
    </row>
    <row r="41" spans="1:14" x14ac:dyDescent="0.3">
      <c r="A41" s="7" t="s">
        <v>37</v>
      </c>
      <c r="C41" s="18">
        <f>SUM(C31:C33)</f>
        <v>60556.800000000003</v>
      </c>
      <c r="D41" s="18">
        <f t="shared" ref="D41:N41" si="84">SUM(D31:D33)</f>
        <v>60617.356800000009</v>
      </c>
      <c r="E41" s="18">
        <f t="shared" si="84"/>
        <v>60677.974156799981</v>
      </c>
      <c r="F41" s="18">
        <f t="shared" si="84"/>
        <v>60738.652130956776</v>
      </c>
      <c r="G41" s="18">
        <f t="shared" si="84"/>
        <v>60799.390783087729</v>
      </c>
      <c r="H41" s="18">
        <f t="shared" si="84"/>
        <v>60860.190173870811</v>
      </c>
      <c r="I41" s="18">
        <f t="shared" si="84"/>
        <v>60921.05036404467</v>
      </c>
      <c r="J41" s="18">
        <f t="shared" si="84"/>
        <v>60981.971414408705</v>
      </c>
      <c r="K41" s="18">
        <f t="shared" si="84"/>
        <v>61042.953385823115</v>
      </c>
      <c r="L41" s="18">
        <f t="shared" si="84"/>
        <v>61103.996339208927</v>
      </c>
      <c r="M41" s="18">
        <f t="shared" si="84"/>
        <v>61165.100335548144</v>
      </c>
      <c r="N41" s="18">
        <f t="shared" si="84"/>
        <v>61226.265435883688</v>
      </c>
    </row>
    <row r="47" spans="1:14" x14ac:dyDescent="0.3">
      <c r="A47" s="7" t="s">
        <v>35</v>
      </c>
    </row>
    <row r="49" spans="1:14" x14ac:dyDescent="0.3">
      <c r="A49" s="7" t="s">
        <v>38</v>
      </c>
      <c r="B49" s="7">
        <v>2</v>
      </c>
      <c r="C49" s="18">
        <f ca="1">IF($B49&lt;C$5,OFFSET(C31,0,-$B49)*10%,0)</f>
        <v>0</v>
      </c>
      <c r="D49" s="18">
        <f t="shared" ref="D49:N49" ca="1" si="85">IF($B49&lt;D$5,OFFSET(D31,0,-$B49)*10%,0)</f>
        <v>0</v>
      </c>
      <c r="E49" s="18">
        <f t="shared" ca="1" si="85"/>
        <v>1513.92</v>
      </c>
      <c r="F49" s="18">
        <f t="shared" ca="1" si="85"/>
        <v>1515.4339199999999</v>
      </c>
      <c r="G49" s="18">
        <f t="shared" ca="1" si="85"/>
        <v>1516.9493539199996</v>
      </c>
      <c r="H49" s="18">
        <f t="shared" ca="1" si="85"/>
        <v>1518.4663032739193</v>
      </c>
      <c r="I49" s="18">
        <f t="shared" ca="1" si="85"/>
        <v>1519.9847695771932</v>
      </c>
      <c r="J49" s="18">
        <f t="shared" ca="1" si="85"/>
        <v>1521.5047543467701</v>
      </c>
      <c r="K49" s="18">
        <f t="shared" ca="1" si="85"/>
        <v>1523.0262591011167</v>
      </c>
      <c r="L49" s="18">
        <f t="shared" ca="1" si="85"/>
        <v>1524.5492853602177</v>
      </c>
      <c r="M49" s="18">
        <f t="shared" ca="1" si="85"/>
        <v>1526.073834645578</v>
      </c>
      <c r="N49" s="18">
        <f t="shared" ca="1" si="85"/>
        <v>1527.5999084802231</v>
      </c>
    </row>
    <row r="50" spans="1:14" x14ac:dyDescent="0.3">
      <c r="A50" s="7" t="s">
        <v>39</v>
      </c>
      <c r="B50" s="7">
        <v>6</v>
      </c>
      <c r="C50" s="18">
        <f ca="1">IF($B50&lt;C$5,OFFSET(C40,0,-$B50)*10%,0)</f>
        <v>0</v>
      </c>
      <c r="D50" s="18">
        <f t="shared" ref="D50:N50" ca="1" si="86">IF($B50&lt;D$5,OFFSET(D40,0,-$B50)*10%,0)</f>
        <v>0</v>
      </c>
      <c r="E50" s="18">
        <f t="shared" ca="1" si="86"/>
        <v>0</v>
      </c>
      <c r="F50" s="18">
        <f t="shared" ca="1" si="86"/>
        <v>0</v>
      </c>
      <c r="G50" s="18">
        <f t="shared" ca="1" si="86"/>
        <v>0</v>
      </c>
      <c r="H50" s="18">
        <f t="shared" ca="1" si="86"/>
        <v>0</v>
      </c>
      <c r="I50" s="18">
        <f t="shared" ca="1" si="86"/>
        <v>3532.4800000000005</v>
      </c>
      <c r="J50" s="18">
        <f t="shared" ca="1" si="86"/>
        <v>3536.0124800000008</v>
      </c>
      <c r="K50" s="18">
        <f t="shared" ca="1" si="86"/>
        <v>3539.5484924799989</v>
      </c>
      <c r="L50" s="18">
        <f t="shared" ca="1" si="86"/>
        <v>3543.0880409724787</v>
      </c>
      <c r="M50" s="18">
        <f t="shared" ca="1" si="86"/>
        <v>3546.6311290134508</v>
      </c>
      <c r="N50" s="18">
        <f t="shared" ca="1" si="86"/>
        <v>3550.1777601424642</v>
      </c>
    </row>
    <row r="51" spans="1:14" x14ac:dyDescent="0.3">
      <c r="A51" s="7" t="s">
        <v>40</v>
      </c>
      <c r="B51" s="7">
        <v>6</v>
      </c>
      <c r="C51" s="18">
        <f ca="1">IF($B51&lt;C$5,OFFSET(C41,0,-$B51)*15%,0)</f>
        <v>0</v>
      </c>
      <c r="D51" s="18">
        <f t="shared" ref="D51:N51" ca="1" si="87">IF($B51&lt;D$5,OFFSET(D41,0,-$B51)*15%,0)</f>
        <v>0</v>
      </c>
      <c r="E51" s="18">
        <f t="shared" ca="1" si="87"/>
        <v>0</v>
      </c>
      <c r="F51" s="18">
        <f t="shared" ca="1" si="87"/>
        <v>0</v>
      </c>
      <c r="G51" s="18">
        <f t="shared" ca="1" si="87"/>
        <v>0</v>
      </c>
      <c r="H51" s="18">
        <f t="shared" ca="1" si="87"/>
        <v>0</v>
      </c>
      <c r="I51" s="18">
        <f t="shared" ca="1" si="87"/>
        <v>9083.52</v>
      </c>
      <c r="J51" s="18">
        <f t="shared" ca="1" si="87"/>
        <v>9092.6035200000006</v>
      </c>
      <c r="K51" s="18">
        <f t="shared" ca="1" si="87"/>
        <v>9101.696123519996</v>
      </c>
      <c r="L51" s="18">
        <f t="shared" ca="1" si="87"/>
        <v>9110.797819643516</v>
      </c>
      <c r="M51" s="18">
        <f t="shared" ca="1" si="87"/>
        <v>9119.9086174631593</v>
      </c>
      <c r="N51" s="18">
        <f t="shared" ca="1" si="87"/>
        <v>9129.0285260806213</v>
      </c>
    </row>
    <row r="53" spans="1:14" x14ac:dyDescent="0.3">
      <c r="A53" s="7" t="s">
        <v>48</v>
      </c>
      <c r="C53" s="39">
        <f ca="1">SUM(C51+C34)</f>
        <v>40371.200000000004</v>
      </c>
      <c r="D53" s="39">
        <f t="shared" ref="D53:N53" ca="1" si="88">SUM(D51+D34)</f>
        <v>40411.571200000006</v>
      </c>
      <c r="E53" s="39">
        <f t="shared" ca="1" si="88"/>
        <v>40451.98277119999</v>
      </c>
      <c r="F53" s="39">
        <f t="shared" ca="1" si="88"/>
        <v>40492.434753971182</v>
      </c>
      <c r="G53" s="39">
        <f t="shared" ca="1" si="88"/>
        <v>40532.927188725153</v>
      </c>
      <c r="H53" s="39">
        <f t="shared" ca="1" si="88"/>
        <v>40573.460115913877</v>
      </c>
      <c r="I53" s="39">
        <f t="shared" ca="1" si="88"/>
        <v>49697.553576029779</v>
      </c>
      <c r="J53" s="39">
        <f t="shared" ca="1" si="88"/>
        <v>49747.251129605807</v>
      </c>
      <c r="K53" s="39">
        <f t="shared" ca="1" si="88"/>
        <v>49796.998380735415</v>
      </c>
      <c r="L53" s="39">
        <f t="shared" ca="1" si="88"/>
        <v>49846.795379116134</v>
      </c>
      <c r="M53" s="39">
        <f t="shared" ca="1" si="88"/>
        <v>49896.64217449526</v>
      </c>
      <c r="N53" s="39">
        <f t="shared" ca="1" si="88"/>
        <v>49946.538816669745</v>
      </c>
    </row>
    <row r="55" spans="1:14" x14ac:dyDescent="0.3">
      <c r="A55" s="7" t="s">
        <v>47</v>
      </c>
      <c r="C55" s="38">
        <v>0.9</v>
      </c>
      <c r="D55" s="38">
        <v>0.9</v>
      </c>
      <c r="E55" s="38">
        <v>0.9</v>
      </c>
      <c r="F55" s="38">
        <v>0.9</v>
      </c>
      <c r="G55" s="38">
        <v>0.9</v>
      </c>
      <c r="H55" s="38">
        <v>0.9</v>
      </c>
      <c r="I55" s="38">
        <v>0.9</v>
      </c>
      <c r="J55" s="38">
        <v>0.9</v>
      </c>
      <c r="K55" s="38">
        <v>0.9</v>
      </c>
      <c r="L55" s="38">
        <v>0.9</v>
      </c>
      <c r="M55" s="38">
        <v>0.9</v>
      </c>
      <c r="N55" s="38">
        <v>0.9</v>
      </c>
    </row>
    <row r="56" spans="1:14" x14ac:dyDescent="0.3">
      <c r="A56" s="7" t="s">
        <v>50</v>
      </c>
      <c r="C56" s="39">
        <f ca="1">C55*C53</f>
        <v>36334.080000000002</v>
      </c>
      <c r="D56" s="39">
        <f t="shared" ref="D56:N56" ca="1" si="89">D55*D53</f>
        <v>36370.41408000001</v>
      </c>
      <c r="E56" s="39">
        <f t="shared" ca="1" si="89"/>
        <v>36406.784494079991</v>
      </c>
      <c r="F56" s="39">
        <f t="shared" ca="1" si="89"/>
        <v>36443.191278574064</v>
      </c>
      <c r="G56" s="39">
        <f t="shared" ca="1" si="89"/>
        <v>36479.634469852637</v>
      </c>
      <c r="H56" s="39">
        <f t="shared" ca="1" si="89"/>
        <v>36516.114104322492</v>
      </c>
      <c r="I56" s="39">
        <f t="shared" ca="1" si="89"/>
        <v>44727.798218426804</v>
      </c>
      <c r="J56" s="39">
        <f t="shared" ca="1" si="89"/>
        <v>44772.526016645228</v>
      </c>
      <c r="K56" s="39">
        <f t="shared" ca="1" si="89"/>
        <v>44817.298542661876</v>
      </c>
      <c r="L56" s="39">
        <f t="shared" ca="1" si="89"/>
        <v>44862.115841204519</v>
      </c>
      <c r="M56" s="39">
        <f t="shared" ca="1" si="89"/>
        <v>44906.977957045732</v>
      </c>
      <c r="N56" s="39">
        <f t="shared" ca="1" si="89"/>
        <v>44951.884935002774</v>
      </c>
    </row>
    <row r="58" spans="1:14" x14ac:dyDescent="0.3">
      <c r="A58" s="7" t="s">
        <v>49</v>
      </c>
      <c r="C58" s="38">
        <v>0.6</v>
      </c>
      <c r="D58" s="38">
        <v>0.6</v>
      </c>
      <c r="E58" s="38">
        <v>0.6</v>
      </c>
      <c r="F58" s="38">
        <v>0.6</v>
      </c>
      <c r="G58" s="38">
        <v>0.6</v>
      </c>
      <c r="H58" s="38">
        <v>0.6</v>
      </c>
      <c r="I58" s="38">
        <v>0.6</v>
      </c>
      <c r="J58" s="38">
        <v>0.6</v>
      </c>
      <c r="K58" s="38">
        <v>0.6</v>
      </c>
      <c r="L58" s="38">
        <v>0.6</v>
      </c>
      <c r="M58" s="38">
        <v>0.6</v>
      </c>
      <c r="N58" s="38">
        <v>0.6</v>
      </c>
    </row>
    <row r="59" spans="1:14" x14ac:dyDescent="0.3">
      <c r="A59" s="7" t="s">
        <v>54</v>
      </c>
      <c r="C59" s="38">
        <v>0.3</v>
      </c>
      <c r="D59" s="38">
        <v>0.3</v>
      </c>
      <c r="E59" s="38">
        <v>0.3</v>
      </c>
      <c r="F59" s="38">
        <v>0.3</v>
      </c>
      <c r="G59" s="38">
        <v>0.3</v>
      </c>
      <c r="H59" s="38">
        <v>0.3</v>
      </c>
      <c r="I59" s="38">
        <v>0.3</v>
      </c>
      <c r="J59" s="38">
        <v>0.3</v>
      </c>
      <c r="K59" s="38">
        <v>0.3</v>
      </c>
      <c r="L59" s="38">
        <v>0.3</v>
      </c>
      <c r="M59" s="38">
        <v>0.3</v>
      </c>
      <c r="N59" s="38">
        <v>0.3</v>
      </c>
    </row>
    <row r="60" spans="1:14" x14ac:dyDescent="0.3">
      <c r="A60" s="7" t="s">
        <v>55</v>
      </c>
      <c r="C60" s="38">
        <v>0.1</v>
      </c>
      <c r="D60" s="38">
        <v>0.1</v>
      </c>
      <c r="E60" s="38">
        <v>0.1</v>
      </c>
      <c r="F60" s="38">
        <v>0.1</v>
      </c>
      <c r="G60" s="38">
        <v>0.1</v>
      </c>
      <c r="H60" s="38">
        <v>0.1</v>
      </c>
      <c r="I60" s="38">
        <v>0.1</v>
      </c>
      <c r="J60" s="38">
        <v>0.1</v>
      </c>
      <c r="K60" s="38">
        <v>0.1</v>
      </c>
      <c r="L60" s="38">
        <v>0.1</v>
      </c>
      <c r="M60" s="38">
        <v>0.1</v>
      </c>
      <c r="N60" s="38">
        <v>0.1</v>
      </c>
    </row>
    <row r="62" spans="1:14" x14ac:dyDescent="0.3">
      <c r="A62" s="7" t="s">
        <v>56</v>
      </c>
    </row>
    <row r="63" spans="1:14" x14ac:dyDescent="0.3">
      <c r="A63" s="7" t="s">
        <v>49</v>
      </c>
      <c r="C63" s="40">
        <f>VLOOKUP($A$63,$A$58:$N$60,3,FALSE)</f>
        <v>0.6</v>
      </c>
      <c r="D63" s="40">
        <f t="shared" ref="D63:N63" si="90">VLOOKUP($A$63,$A$58:$N$60,3,FALSE)</f>
        <v>0.6</v>
      </c>
      <c r="E63" s="40">
        <f t="shared" si="90"/>
        <v>0.6</v>
      </c>
      <c r="F63" s="40">
        <f t="shared" si="90"/>
        <v>0.6</v>
      </c>
      <c r="G63" s="40">
        <f t="shared" si="90"/>
        <v>0.6</v>
      </c>
      <c r="H63" s="40">
        <f t="shared" si="90"/>
        <v>0.6</v>
      </c>
      <c r="I63" s="40">
        <f t="shared" si="90"/>
        <v>0.6</v>
      </c>
      <c r="J63" s="40">
        <f t="shared" si="90"/>
        <v>0.6</v>
      </c>
      <c r="K63" s="40">
        <f t="shared" si="90"/>
        <v>0.6</v>
      </c>
      <c r="L63" s="40">
        <f t="shared" si="90"/>
        <v>0.6</v>
      </c>
      <c r="M63" s="40">
        <f t="shared" si="90"/>
        <v>0.6</v>
      </c>
      <c r="N63" s="40">
        <f t="shared" si="90"/>
        <v>0.6</v>
      </c>
    </row>
    <row r="65" spans="1:14" x14ac:dyDescent="0.3">
      <c r="A65" s="7" t="str">
        <f>"Selected"&amp;" "&amp;A63&amp;" "&amp;"Patients"</f>
        <v>Selected First Line of Treatment Patients</v>
      </c>
      <c r="C65" s="41">
        <f ca="1">C63*C56</f>
        <v>21800.448</v>
      </c>
      <c r="D65" s="41">
        <f t="shared" ref="D65:N65" ca="1" si="91">D63*D56</f>
        <v>21822.248448000006</v>
      </c>
      <c r="E65" s="41">
        <f t="shared" ca="1" si="91"/>
        <v>21844.070696447994</v>
      </c>
      <c r="F65" s="41">
        <f t="shared" ca="1" si="91"/>
        <v>21865.914767144437</v>
      </c>
      <c r="G65" s="41">
        <f t="shared" ca="1" si="91"/>
        <v>21887.780681911583</v>
      </c>
      <c r="H65" s="41">
        <f t="shared" ca="1" si="91"/>
        <v>21909.668462593494</v>
      </c>
      <c r="I65" s="41">
        <f t="shared" ca="1" si="91"/>
        <v>26836.678931056082</v>
      </c>
      <c r="J65" s="41">
        <f t="shared" ca="1" si="91"/>
        <v>26863.515609987135</v>
      </c>
      <c r="K65" s="41">
        <f t="shared" ca="1" si="91"/>
        <v>26890.379125597126</v>
      </c>
      <c r="L65" s="41">
        <f t="shared" ca="1" si="91"/>
        <v>26917.26950472271</v>
      </c>
      <c r="M65" s="41">
        <f t="shared" ca="1" si="91"/>
        <v>26944.186774227437</v>
      </c>
      <c r="N65" s="41">
        <f t="shared" ca="1" si="91"/>
        <v>26971.130961001665</v>
      </c>
    </row>
    <row r="67" spans="1:14" x14ac:dyDescent="0.3">
      <c r="A67" s="7" t="s">
        <v>58</v>
      </c>
      <c r="C67" s="38">
        <v>0.25</v>
      </c>
      <c r="D67" s="38">
        <v>0.25</v>
      </c>
      <c r="E67" s="38">
        <v>0.25</v>
      </c>
      <c r="F67" s="38">
        <v>0.25</v>
      </c>
      <c r="G67" s="38">
        <v>0.25</v>
      </c>
      <c r="H67" s="38">
        <v>0.25</v>
      </c>
      <c r="I67" s="38">
        <v>0.25</v>
      </c>
      <c r="J67" s="38">
        <v>0.25</v>
      </c>
      <c r="K67" s="38">
        <v>0.25</v>
      </c>
      <c r="L67" s="38">
        <v>0.25</v>
      </c>
      <c r="M67" s="38">
        <v>0.25</v>
      </c>
      <c r="N67" s="38">
        <v>0.25</v>
      </c>
    </row>
    <row r="69" spans="1:14" s="43" customFormat="1" x14ac:dyDescent="0.3">
      <c r="A69" s="43" t="s">
        <v>51</v>
      </c>
      <c r="C69" s="44">
        <f ca="1">C67*C65</f>
        <v>5450.1120000000001</v>
      </c>
      <c r="D69" s="44">
        <f t="shared" ref="D69:N69" ca="1" si="92">D67*D65</f>
        <v>5455.5621120000014</v>
      </c>
      <c r="E69" s="44">
        <f t="shared" ca="1" si="92"/>
        <v>5461.0176741119985</v>
      </c>
      <c r="F69" s="44">
        <f t="shared" ca="1" si="92"/>
        <v>5466.4786917861093</v>
      </c>
      <c r="G69" s="44">
        <f t="shared" ca="1" si="92"/>
        <v>5471.9451704778958</v>
      </c>
      <c r="H69" s="44">
        <f t="shared" ca="1" si="92"/>
        <v>5477.4171156483735</v>
      </c>
      <c r="I69" s="44">
        <f t="shared" ca="1" si="92"/>
        <v>6709.1697327640204</v>
      </c>
      <c r="J69" s="44">
        <f t="shared" ca="1" si="92"/>
        <v>6715.8789024967837</v>
      </c>
      <c r="K69" s="44">
        <f t="shared" ca="1" si="92"/>
        <v>6722.5947813992816</v>
      </c>
      <c r="L69" s="44">
        <f t="shared" ca="1" si="92"/>
        <v>6729.3173761806775</v>
      </c>
      <c r="M69" s="44">
        <f t="shared" ca="1" si="92"/>
        <v>6736.0466935568593</v>
      </c>
      <c r="N69" s="44">
        <f t="shared" ca="1" si="92"/>
        <v>6742.7827402504163</v>
      </c>
    </row>
    <row r="71" spans="1:14" x14ac:dyDescent="0.3">
      <c r="A71" s="7" t="s">
        <v>59</v>
      </c>
    </row>
    <row r="72" spans="1:14" x14ac:dyDescent="0.3">
      <c r="A72" s="7" t="s">
        <v>60</v>
      </c>
      <c r="B72" s="7">
        <v>2020</v>
      </c>
      <c r="C72" s="7">
        <v>2021</v>
      </c>
      <c r="D72" s="7">
        <v>2022</v>
      </c>
      <c r="E72" s="7">
        <v>2023</v>
      </c>
      <c r="F72" s="7">
        <v>2024</v>
      </c>
      <c r="G72" s="7">
        <v>2025</v>
      </c>
      <c r="H72" s="7">
        <v>2026</v>
      </c>
      <c r="I72" s="7">
        <v>2027</v>
      </c>
      <c r="J72" s="7">
        <v>2028</v>
      </c>
      <c r="K72" s="7">
        <v>2029</v>
      </c>
      <c r="L72" s="7">
        <v>2030</v>
      </c>
    </row>
    <row r="73" spans="1:14" x14ac:dyDescent="0.3">
      <c r="A73" s="7" t="s">
        <v>52</v>
      </c>
      <c r="E73" s="41">
        <f ca="1">N69</f>
        <v>6742.7827402504163</v>
      </c>
    </row>
    <row r="74" spans="1:14" x14ac:dyDescent="0.3">
      <c r="A74" s="7" t="s">
        <v>61</v>
      </c>
    </row>
    <row r="75" spans="1:14" x14ac:dyDescent="0.3">
      <c r="A75" s="7" t="s">
        <v>62</v>
      </c>
      <c r="B75" s="7">
        <v>656000000</v>
      </c>
      <c r="E75" s="41">
        <f ca="1">E73*100000</f>
        <v>674278274.02504158</v>
      </c>
      <c r="F75" s="41">
        <f ca="1">E75+E75*$E$76</f>
        <v>680483515.1995455</v>
      </c>
      <c r="G75" s="41">
        <f t="shared" ref="G75:L75" ca="1" si="93">F75+F75*$E$76</f>
        <v>686745861.90379453</v>
      </c>
      <c r="H75" s="41">
        <f t="shared" ca="1" si="93"/>
        <v>693065839.66797113</v>
      </c>
      <c r="I75" s="41">
        <f t="shared" ca="1" si="93"/>
        <v>699443978.85860169</v>
      </c>
      <c r="J75" s="41">
        <f t="shared" ca="1" si="93"/>
        <v>705880814.72306418</v>
      </c>
      <c r="K75" s="41">
        <f t="shared" ca="1" si="93"/>
        <v>712376887.4345057</v>
      </c>
      <c r="L75" s="41">
        <f t="shared" ca="1" si="93"/>
        <v>718932742.13717318</v>
      </c>
    </row>
    <row r="76" spans="1:14" x14ac:dyDescent="0.3">
      <c r="A76" s="7" t="s">
        <v>53</v>
      </c>
      <c r="E76" s="40">
        <f ca="1">(E75/B75)^(1/3)-1</f>
        <v>9.2027897287307869E-3</v>
      </c>
    </row>
  </sheetData>
  <phoneticPr fontId="2" type="noConversion"/>
  <dataValidations count="3">
    <dataValidation type="list" allowBlank="1" showInputMessage="1" showErrorMessage="1" sqref="A21:B21" xr:uid="{A1EEC4AE-0993-4B8D-8B89-5EEB7F932BD4}">
      <formula1>$A$16:$A$18</formula1>
    </dataValidation>
    <dataValidation type="list" allowBlank="1" showInputMessage="1" showErrorMessage="1" sqref="A37:B37" xr:uid="{BE88F913-2170-45BF-8C1C-DD9A0875701A}">
      <formula1>$A$26:$A$29</formula1>
    </dataValidation>
    <dataValidation type="list" allowBlank="1" showInputMessage="1" showErrorMessage="1" sqref="A63" xr:uid="{D38E3E99-34B6-4866-A55A-8B1D53B83CB5}">
      <formula1>$A$58:$A$60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146A-84A7-4EA4-9C9D-FE9F15B6EC34}">
  <dimension ref="A1:CT81"/>
  <sheetViews>
    <sheetView zoomScale="52" workbookViewId="0">
      <selection activeCell="C52" sqref="C52:J52"/>
    </sheetView>
  </sheetViews>
  <sheetFormatPr defaultColWidth="8.77734375" defaultRowHeight="18" x14ac:dyDescent="0.35"/>
  <cols>
    <col min="1" max="1" width="58.77734375" style="49" customWidth="1"/>
    <col min="2" max="2" width="34.77734375" style="51" customWidth="1"/>
    <col min="3" max="3" width="19.77734375" style="51" customWidth="1"/>
    <col min="4" max="4" width="18.21875" style="51" customWidth="1"/>
    <col min="5" max="7" width="17.6640625" style="51" bestFit="1" customWidth="1"/>
    <col min="8" max="8" width="26.77734375" style="51" customWidth="1"/>
    <col min="9" max="9" width="21.77734375" style="51" customWidth="1"/>
    <col min="10" max="10" width="22.109375" style="51" customWidth="1"/>
    <col min="11" max="11" width="23.109375" style="51" customWidth="1"/>
    <col min="12" max="12" width="18.77734375" style="51" customWidth="1"/>
    <col min="13" max="13" width="22.21875" style="51" customWidth="1"/>
    <col min="14" max="14" width="17.6640625" style="51" bestFit="1" customWidth="1"/>
    <col min="15" max="16384" width="8.77734375" style="51"/>
  </cols>
  <sheetData>
    <row r="1" spans="1:98" customFormat="1" ht="34.049999999999997" customHeight="1" x14ac:dyDescent="0.3">
      <c r="A1" s="46" t="s">
        <v>57</v>
      </c>
      <c r="B1" s="46"/>
      <c r="C1" s="47"/>
      <c r="D1" s="47"/>
      <c r="E1" s="47"/>
      <c r="F1" s="47"/>
      <c r="G1" s="47"/>
      <c r="H1" s="47"/>
      <c r="I1" s="47"/>
      <c r="J1" s="47"/>
      <c r="K1" s="47"/>
    </row>
    <row r="2" spans="1:98" x14ac:dyDescent="0.35">
      <c r="A2" s="49" t="s">
        <v>41</v>
      </c>
    </row>
    <row r="3" spans="1:98" x14ac:dyDescent="0.35">
      <c r="A3" s="49">
        <v>1</v>
      </c>
      <c r="B3" s="49">
        <f>A3+1</f>
        <v>2</v>
      </c>
      <c r="C3" s="49">
        <f t="shared" ref="C3:AS3" si="0">B3+1</f>
        <v>3</v>
      </c>
      <c r="D3" s="49">
        <f t="shared" si="0"/>
        <v>4</v>
      </c>
      <c r="E3" s="49">
        <f t="shared" si="0"/>
        <v>5</v>
      </c>
      <c r="F3" s="49">
        <f t="shared" si="0"/>
        <v>6</v>
      </c>
      <c r="G3" s="49">
        <f t="shared" si="0"/>
        <v>7</v>
      </c>
      <c r="H3" s="49">
        <f t="shared" si="0"/>
        <v>8</v>
      </c>
      <c r="I3" s="49">
        <f t="shared" si="0"/>
        <v>9</v>
      </c>
      <c r="J3" s="49">
        <f t="shared" si="0"/>
        <v>10</v>
      </c>
      <c r="K3" s="49">
        <f t="shared" si="0"/>
        <v>11</v>
      </c>
      <c r="L3" s="49">
        <f t="shared" si="0"/>
        <v>12</v>
      </c>
      <c r="M3" s="49">
        <f t="shared" si="0"/>
        <v>13</v>
      </c>
      <c r="N3" s="49">
        <f t="shared" si="0"/>
        <v>14</v>
      </c>
      <c r="O3" s="49">
        <f t="shared" si="0"/>
        <v>15</v>
      </c>
      <c r="P3" s="49">
        <f t="shared" si="0"/>
        <v>16</v>
      </c>
      <c r="Q3" s="49">
        <f t="shared" si="0"/>
        <v>17</v>
      </c>
      <c r="R3" s="49">
        <f t="shared" si="0"/>
        <v>18</v>
      </c>
      <c r="S3" s="49">
        <f t="shared" si="0"/>
        <v>19</v>
      </c>
      <c r="T3" s="49">
        <f t="shared" si="0"/>
        <v>20</v>
      </c>
      <c r="U3" s="49">
        <f t="shared" si="0"/>
        <v>21</v>
      </c>
      <c r="V3" s="49">
        <f t="shared" si="0"/>
        <v>22</v>
      </c>
      <c r="W3" s="49">
        <f t="shared" si="0"/>
        <v>23</v>
      </c>
      <c r="X3" s="49">
        <f t="shared" si="0"/>
        <v>24</v>
      </c>
      <c r="Y3" s="49">
        <f t="shared" si="0"/>
        <v>25</v>
      </c>
      <c r="Z3" s="49">
        <f t="shared" si="0"/>
        <v>26</v>
      </c>
      <c r="AA3" s="49">
        <f t="shared" si="0"/>
        <v>27</v>
      </c>
      <c r="AB3" s="49">
        <f t="shared" si="0"/>
        <v>28</v>
      </c>
      <c r="AC3" s="49">
        <f t="shared" si="0"/>
        <v>29</v>
      </c>
      <c r="AD3" s="49">
        <f t="shared" si="0"/>
        <v>30</v>
      </c>
      <c r="AE3" s="49">
        <f t="shared" si="0"/>
        <v>31</v>
      </c>
      <c r="AF3" s="49">
        <f t="shared" si="0"/>
        <v>32</v>
      </c>
      <c r="AG3" s="49">
        <f t="shared" si="0"/>
        <v>33</v>
      </c>
      <c r="AH3" s="49">
        <f t="shared" si="0"/>
        <v>34</v>
      </c>
      <c r="AI3" s="49">
        <f t="shared" si="0"/>
        <v>35</v>
      </c>
      <c r="AJ3" s="49">
        <f t="shared" si="0"/>
        <v>36</v>
      </c>
      <c r="AK3" s="49">
        <f t="shared" si="0"/>
        <v>37</v>
      </c>
      <c r="AL3" s="49">
        <f t="shared" si="0"/>
        <v>38</v>
      </c>
      <c r="AM3" s="49">
        <f t="shared" si="0"/>
        <v>39</v>
      </c>
      <c r="AN3" s="49">
        <f t="shared" si="0"/>
        <v>40</v>
      </c>
      <c r="AO3" s="49">
        <f t="shared" si="0"/>
        <v>41</v>
      </c>
      <c r="AP3" s="49">
        <f t="shared" si="0"/>
        <v>42</v>
      </c>
      <c r="AQ3" s="49">
        <f t="shared" si="0"/>
        <v>43</v>
      </c>
      <c r="AR3" s="49">
        <f t="shared" si="0"/>
        <v>44</v>
      </c>
      <c r="AS3" s="49">
        <f t="shared" si="0"/>
        <v>45</v>
      </c>
    </row>
    <row r="4" spans="1:98" ht="18.600000000000001" thickBot="1" x14ac:dyDescent="0.4">
      <c r="C4" s="58">
        <f t="shared" ref="C4:D4" si="1">B4+1</f>
        <v>1</v>
      </c>
      <c r="D4" s="58">
        <f t="shared" si="1"/>
        <v>2</v>
      </c>
      <c r="E4" s="58">
        <f>D4+1</f>
        <v>3</v>
      </c>
      <c r="F4" s="58">
        <f t="shared" ref="F4:AS4" si="2">E4+1</f>
        <v>4</v>
      </c>
      <c r="G4" s="58">
        <f t="shared" si="2"/>
        <v>5</v>
      </c>
      <c r="H4" s="58">
        <f t="shared" si="2"/>
        <v>6</v>
      </c>
      <c r="I4" s="58">
        <f t="shared" si="2"/>
        <v>7</v>
      </c>
      <c r="J4" s="58">
        <f t="shared" si="2"/>
        <v>8</v>
      </c>
      <c r="K4" s="58">
        <f t="shared" si="2"/>
        <v>9</v>
      </c>
      <c r="L4" s="58">
        <f t="shared" si="2"/>
        <v>10</v>
      </c>
      <c r="M4" s="58">
        <f t="shared" si="2"/>
        <v>11</v>
      </c>
      <c r="N4" s="58">
        <f t="shared" si="2"/>
        <v>12</v>
      </c>
      <c r="O4" s="58">
        <f t="shared" si="2"/>
        <v>13</v>
      </c>
      <c r="P4" s="58">
        <f t="shared" si="2"/>
        <v>14</v>
      </c>
      <c r="Q4" s="58">
        <f t="shared" si="2"/>
        <v>15</v>
      </c>
      <c r="R4" s="58">
        <f t="shared" si="2"/>
        <v>16</v>
      </c>
      <c r="S4" s="58">
        <f t="shared" si="2"/>
        <v>17</v>
      </c>
      <c r="T4" s="58">
        <f t="shared" si="2"/>
        <v>18</v>
      </c>
      <c r="U4" s="58">
        <f t="shared" si="2"/>
        <v>19</v>
      </c>
      <c r="V4" s="58">
        <f t="shared" si="2"/>
        <v>20</v>
      </c>
      <c r="W4" s="58">
        <f t="shared" si="2"/>
        <v>21</v>
      </c>
      <c r="X4" s="58">
        <f t="shared" si="2"/>
        <v>22</v>
      </c>
      <c r="Y4" s="58">
        <f t="shared" si="2"/>
        <v>23</v>
      </c>
      <c r="Z4" s="58">
        <f t="shared" si="2"/>
        <v>24</v>
      </c>
      <c r="AA4" s="58">
        <f t="shared" si="2"/>
        <v>25</v>
      </c>
      <c r="AB4" s="58">
        <f t="shared" si="2"/>
        <v>26</v>
      </c>
      <c r="AC4" s="58">
        <f t="shared" si="2"/>
        <v>27</v>
      </c>
      <c r="AD4" s="58">
        <f t="shared" si="2"/>
        <v>28</v>
      </c>
      <c r="AE4" s="58">
        <f t="shared" si="2"/>
        <v>29</v>
      </c>
      <c r="AF4" s="58">
        <f t="shared" si="2"/>
        <v>30</v>
      </c>
      <c r="AG4" s="58">
        <f t="shared" si="2"/>
        <v>31</v>
      </c>
      <c r="AH4" s="58">
        <f t="shared" si="2"/>
        <v>32</v>
      </c>
      <c r="AI4" s="58">
        <f t="shared" si="2"/>
        <v>33</v>
      </c>
      <c r="AJ4" s="58">
        <f t="shared" si="2"/>
        <v>34</v>
      </c>
      <c r="AK4" s="58">
        <f t="shared" si="2"/>
        <v>35</v>
      </c>
      <c r="AL4" s="58">
        <f t="shared" si="2"/>
        <v>36</v>
      </c>
      <c r="AM4" s="58">
        <f t="shared" si="2"/>
        <v>37</v>
      </c>
      <c r="AN4" s="58">
        <f t="shared" si="2"/>
        <v>38</v>
      </c>
      <c r="AO4" s="58">
        <f t="shared" si="2"/>
        <v>39</v>
      </c>
      <c r="AP4" s="58">
        <f t="shared" si="2"/>
        <v>40</v>
      </c>
      <c r="AQ4" s="58">
        <f t="shared" si="2"/>
        <v>41</v>
      </c>
      <c r="AR4" s="58">
        <f t="shared" si="2"/>
        <v>42</v>
      </c>
      <c r="AS4" s="58">
        <f t="shared" si="2"/>
        <v>43</v>
      </c>
    </row>
    <row r="5" spans="1:98" x14ac:dyDescent="0.35">
      <c r="A5" s="49" t="s">
        <v>1</v>
      </c>
      <c r="C5" s="59" t="s">
        <v>2</v>
      </c>
      <c r="D5" s="60" t="s">
        <v>3</v>
      </c>
      <c r="E5" s="60" t="s">
        <v>4</v>
      </c>
      <c r="F5" s="60" t="s">
        <v>5</v>
      </c>
      <c r="G5" s="60" t="s">
        <v>6</v>
      </c>
      <c r="H5" s="60" t="s">
        <v>7</v>
      </c>
      <c r="I5" s="60" t="s">
        <v>8</v>
      </c>
      <c r="J5" s="60" t="s">
        <v>9</v>
      </c>
      <c r="K5" s="60" t="s">
        <v>10</v>
      </c>
      <c r="L5" s="60" t="s">
        <v>11</v>
      </c>
      <c r="M5" s="60" t="s">
        <v>12</v>
      </c>
      <c r="N5" s="61" t="s">
        <v>13</v>
      </c>
      <c r="O5" s="48" t="s">
        <v>2</v>
      </c>
      <c r="P5" s="48" t="s">
        <v>3</v>
      </c>
      <c r="Q5" s="48" t="s">
        <v>4</v>
      </c>
      <c r="R5" s="48" t="s">
        <v>5</v>
      </c>
      <c r="S5" s="48" t="s">
        <v>6</v>
      </c>
      <c r="T5" s="48" t="s">
        <v>7</v>
      </c>
      <c r="U5" s="48" t="s">
        <v>8</v>
      </c>
      <c r="V5" s="48" t="s">
        <v>9</v>
      </c>
      <c r="W5" s="48" t="s">
        <v>10</v>
      </c>
      <c r="X5" s="48" t="s">
        <v>11</v>
      </c>
      <c r="Y5" s="48" t="s">
        <v>12</v>
      </c>
      <c r="Z5" s="48" t="s">
        <v>13</v>
      </c>
      <c r="AA5" s="48" t="s">
        <v>2</v>
      </c>
      <c r="AB5" s="48" t="s">
        <v>3</v>
      </c>
      <c r="AC5" s="48" t="s">
        <v>4</v>
      </c>
      <c r="AD5" s="48" t="s">
        <v>5</v>
      </c>
      <c r="AE5" s="48" t="s">
        <v>6</v>
      </c>
      <c r="AF5" s="48" t="s">
        <v>7</v>
      </c>
      <c r="AG5" s="48" t="s">
        <v>8</v>
      </c>
      <c r="AH5" s="48" t="s">
        <v>9</v>
      </c>
      <c r="AI5" s="48" t="s">
        <v>10</v>
      </c>
      <c r="AJ5" s="48" t="s">
        <v>11</v>
      </c>
      <c r="AK5" s="48" t="s">
        <v>12</v>
      </c>
      <c r="AL5" s="48" t="s">
        <v>13</v>
      </c>
      <c r="AM5" s="48" t="s">
        <v>2</v>
      </c>
      <c r="AN5" s="48" t="s">
        <v>3</v>
      </c>
      <c r="AO5" s="48" t="s">
        <v>4</v>
      </c>
      <c r="AP5" s="48" t="s">
        <v>5</v>
      </c>
      <c r="AQ5" s="48" t="s">
        <v>6</v>
      </c>
      <c r="AR5" s="48" t="s">
        <v>7</v>
      </c>
      <c r="AS5" s="48" t="s">
        <v>8</v>
      </c>
      <c r="AT5" s="48" t="s">
        <v>9</v>
      </c>
      <c r="AU5" s="48" t="s">
        <v>10</v>
      </c>
      <c r="AV5" s="48" t="s">
        <v>11</v>
      </c>
      <c r="AW5" s="48" t="s">
        <v>12</v>
      </c>
      <c r="AX5" s="48" t="s">
        <v>13</v>
      </c>
      <c r="AY5" s="48" t="s">
        <v>2</v>
      </c>
      <c r="AZ5" s="48" t="s">
        <v>3</v>
      </c>
      <c r="BA5" s="48" t="s">
        <v>4</v>
      </c>
      <c r="BB5" s="48" t="s">
        <v>5</v>
      </c>
      <c r="BC5" s="48" t="s">
        <v>6</v>
      </c>
      <c r="BD5" s="48" t="s">
        <v>7</v>
      </c>
      <c r="BE5" s="48" t="s">
        <v>8</v>
      </c>
      <c r="BF5" s="48" t="s">
        <v>9</v>
      </c>
      <c r="BG5" s="48" t="s">
        <v>10</v>
      </c>
      <c r="BH5" s="48" t="s">
        <v>11</v>
      </c>
      <c r="BI5" s="48" t="s">
        <v>12</v>
      </c>
      <c r="BJ5" s="48" t="s">
        <v>13</v>
      </c>
      <c r="BK5" s="48" t="s">
        <v>2</v>
      </c>
      <c r="BL5" s="48" t="s">
        <v>3</v>
      </c>
      <c r="BM5" s="48" t="s">
        <v>4</v>
      </c>
      <c r="BN5" s="48" t="s">
        <v>5</v>
      </c>
      <c r="BO5" s="48" t="s">
        <v>6</v>
      </c>
      <c r="BP5" s="48" t="s">
        <v>7</v>
      </c>
      <c r="BQ5" s="48" t="s">
        <v>8</v>
      </c>
      <c r="BR5" s="48" t="s">
        <v>9</v>
      </c>
      <c r="BS5" s="48" t="s">
        <v>10</v>
      </c>
      <c r="BT5" s="48" t="s">
        <v>11</v>
      </c>
      <c r="BU5" s="48" t="s">
        <v>12</v>
      </c>
      <c r="BV5" s="48" t="s">
        <v>13</v>
      </c>
      <c r="BW5" s="48" t="s">
        <v>2</v>
      </c>
      <c r="BX5" s="48" t="s">
        <v>3</v>
      </c>
      <c r="BY5" s="48" t="s">
        <v>4</v>
      </c>
      <c r="BZ5" s="48" t="s">
        <v>5</v>
      </c>
      <c r="CA5" s="48" t="s">
        <v>6</v>
      </c>
      <c r="CB5" s="48" t="s">
        <v>7</v>
      </c>
      <c r="CC5" s="48" t="s">
        <v>8</v>
      </c>
      <c r="CD5" s="48" t="s">
        <v>9</v>
      </c>
      <c r="CE5" s="48" t="s">
        <v>10</v>
      </c>
      <c r="CF5" s="48" t="s">
        <v>11</v>
      </c>
      <c r="CG5" s="48" t="s">
        <v>12</v>
      </c>
      <c r="CH5" s="48" t="s">
        <v>13</v>
      </c>
      <c r="CI5" s="48" t="s">
        <v>2</v>
      </c>
      <c r="CJ5" s="48" t="s">
        <v>3</v>
      </c>
      <c r="CK5" s="48" t="s">
        <v>4</v>
      </c>
      <c r="CL5" s="48" t="s">
        <v>5</v>
      </c>
      <c r="CM5" s="48" t="s">
        <v>6</v>
      </c>
      <c r="CN5" s="48" t="s">
        <v>7</v>
      </c>
      <c r="CO5" s="48" t="s">
        <v>8</v>
      </c>
      <c r="CP5" s="48" t="s">
        <v>9</v>
      </c>
      <c r="CQ5" s="48" t="s">
        <v>10</v>
      </c>
      <c r="CR5" s="48" t="s">
        <v>11</v>
      </c>
      <c r="CS5" s="48" t="s">
        <v>12</v>
      </c>
      <c r="CT5" s="48" t="s">
        <v>13</v>
      </c>
    </row>
    <row r="6" spans="1:98" ht="18.600000000000001" thickBot="1" x14ac:dyDescent="0.4">
      <c r="C6" s="62">
        <v>2023</v>
      </c>
      <c r="D6" s="63">
        <v>2023</v>
      </c>
      <c r="E6" s="63">
        <v>2023</v>
      </c>
      <c r="F6" s="63">
        <v>2023</v>
      </c>
      <c r="G6" s="63">
        <v>2023</v>
      </c>
      <c r="H6" s="63">
        <v>2023</v>
      </c>
      <c r="I6" s="63">
        <v>2023</v>
      </c>
      <c r="J6" s="63">
        <v>2023</v>
      </c>
      <c r="K6" s="63">
        <v>2023</v>
      </c>
      <c r="L6" s="63">
        <v>2023</v>
      </c>
      <c r="M6" s="63">
        <v>2023</v>
      </c>
      <c r="N6" s="64">
        <v>2023</v>
      </c>
      <c r="O6" s="56">
        <f>C6+1</f>
        <v>2024</v>
      </c>
      <c r="P6" s="56">
        <f t="shared" ref="P6:Z6" si="3">D6+1</f>
        <v>2024</v>
      </c>
      <c r="Q6" s="56">
        <f t="shared" si="3"/>
        <v>2024</v>
      </c>
      <c r="R6" s="56">
        <f t="shared" si="3"/>
        <v>2024</v>
      </c>
      <c r="S6" s="56">
        <f t="shared" si="3"/>
        <v>2024</v>
      </c>
      <c r="T6" s="56">
        <f t="shared" si="3"/>
        <v>2024</v>
      </c>
      <c r="U6" s="56">
        <f t="shared" si="3"/>
        <v>2024</v>
      </c>
      <c r="V6" s="56">
        <f t="shared" si="3"/>
        <v>2024</v>
      </c>
      <c r="W6" s="56">
        <f t="shared" si="3"/>
        <v>2024</v>
      </c>
      <c r="X6" s="56">
        <f t="shared" si="3"/>
        <v>2024</v>
      </c>
      <c r="Y6" s="56">
        <f t="shared" si="3"/>
        <v>2024</v>
      </c>
      <c r="Z6" s="56">
        <f t="shared" si="3"/>
        <v>2024</v>
      </c>
      <c r="AA6" s="56">
        <f>O6+1</f>
        <v>2025</v>
      </c>
      <c r="AB6" s="56">
        <f t="shared" ref="AB6" si="4">P6+1</f>
        <v>2025</v>
      </c>
      <c r="AC6" s="56">
        <f t="shared" ref="AC6" si="5">Q6+1</f>
        <v>2025</v>
      </c>
      <c r="AD6" s="56">
        <f t="shared" ref="AD6" si="6">R6+1</f>
        <v>2025</v>
      </c>
      <c r="AE6" s="56">
        <f t="shared" ref="AE6" si="7">S6+1</f>
        <v>2025</v>
      </c>
      <c r="AF6" s="56">
        <f t="shared" ref="AF6" si="8">T6+1</f>
        <v>2025</v>
      </c>
      <c r="AG6" s="56">
        <f t="shared" ref="AG6" si="9">U6+1</f>
        <v>2025</v>
      </c>
      <c r="AH6" s="56">
        <f t="shared" ref="AH6" si="10">V6+1</f>
        <v>2025</v>
      </c>
      <c r="AI6" s="56">
        <f t="shared" ref="AI6" si="11">W6+1</f>
        <v>2025</v>
      </c>
      <c r="AJ6" s="56">
        <f t="shared" ref="AJ6" si="12">X6+1</f>
        <v>2025</v>
      </c>
      <c r="AK6" s="56">
        <f t="shared" ref="AK6" si="13">Y6+1</f>
        <v>2025</v>
      </c>
      <c r="AL6" s="56">
        <f t="shared" ref="AL6" si="14">Z6+1</f>
        <v>2025</v>
      </c>
      <c r="AM6" s="56">
        <f>AA6+1</f>
        <v>2026</v>
      </c>
      <c r="AN6" s="56">
        <f t="shared" ref="AN6" si="15">AB6+1</f>
        <v>2026</v>
      </c>
      <c r="AO6" s="56">
        <f t="shared" ref="AO6" si="16">AC6+1</f>
        <v>2026</v>
      </c>
      <c r="AP6" s="56">
        <f t="shared" ref="AP6" si="17">AD6+1</f>
        <v>2026</v>
      </c>
      <c r="AQ6" s="56">
        <f t="shared" ref="AQ6" si="18">AE6+1</f>
        <v>2026</v>
      </c>
      <c r="AR6" s="56">
        <f t="shared" ref="AR6" si="19">AF6+1</f>
        <v>2026</v>
      </c>
      <c r="AS6" s="56">
        <f t="shared" ref="AS6" si="20">AG6+1</f>
        <v>2026</v>
      </c>
      <c r="AT6" s="56">
        <f t="shared" ref="AT6" si="21">AH6+1</f>
        <v>2026</v>
      </c>
      <c r="AU6" s="56">
        <f t="shared" ref="AU6" si="22">AI6+1</f>
        <v>2026</v>
      </c>
      <c r="AV6" s="56">
        <f t="shared" ref="AV6" si="23">AJ6+1</f>
        <v>2026</v>
      </c>
      <c r="AW6" s="56">
        <f t="shared" ref="AW6" si="24">AK6+1</f>
        <v>2026</v>
      </c>
      <c r="AX6" s="56">
        <f t="shared" ref="AX6" si="25">AL6+1</f>
        <v>2026</v>
      </c>
      <c r="AY6" s="56">
        <f>AM6+1</f>
        <v>2027</v>
      </c>
      <c r="AZ6" s="56">
        <f t="shared" ref="AZ6" si="26">AN6+1</f>
        <v>2027</v>
      </c>
      <c r="BA6" s="56">
        <f t="shared" ref="BA6" si="27">AO6+1</f>
        <v>2027</v>
      </c>
      <c r="BB6" s="56">
        <f t="shared" ref="BB6" si="28">AP6+1</f>
        <v>2027</v>
      </c>
      <c r="BC6" s="56">
        <f t="shared" ref="BC6" si="29">AQ6+1</f>
        <v>2027</v>
      </c>
      <c r="BD6" s="56">
        <f t="shared" ref="BD6" si="30">AR6+1</f>
        <v>2027</v>
      </c>
      <c r="BE6" s="56">
        <f t="shared" ref="BE6" si="31">AS6+1</f>
        <v>2027</v>
      </c>
      <c r="BF6" s="56">
        <f t="shared" ref="BF6" si="32">AT6+1</f>
        <v>2027</v>
      </c>
      <c r="BG6" s="56">
        <f t="shared" ref="BG6" si="33">AU6+1</f>
        <v>2027</v>
      </c>
      <c r="BH6" s="56">
        <f t="shared" ref="BH6" si="34">AV6+1</f>
        <v>2027</v>
      </c>
      <c r="BI6" s="56">
        <f t="shared" ref="BI6" si="35">AW6+1</f>
        <v>2027</v>
      </c>
      <c r="BJ6" s="56">
        <f t="shared" ref="BJ6" si="36">AX6+1</f>
        <v>2027</v>
      </c>
      <c r="BK6" s="56">
        <f>AY6+1</f>
        <v>2028</v>
      </c>
      <c r="BL6" s="56">
        <f t="shared" ref="BL6" si="37">AZ6+1</f>
        <v>2028</v>
      </c>
      <c r="BM6" s="56">
        <f t="shared" ref="BM6" si="38">BA6+1</f>
        <v>2028</v>
      </c>
      <c r="BN6" s="56">
        <f t="shared" ref="BN6" si="39">BB6+1</f>
        <v>2028</v>
      </c>
      <c r="BO6" s="56">
        <f t="shared" ref="BO6" si="40">BC6+1</f>
        <v>2028</v>
      </c>
      <c r="BP6" s="56">
        <f t="shared" ref="BP6" si="41">BD6+1</f>
        <v>2028</v>
      </c>
      <c r="BQ6" s="56">
        <f t="shared" ref="BQ6" si="42">BE6+1</f>
        <v>2028</v>
      </c>
      <c r="BR6" s="56">
        <f t="shared" ref="BR6" si="43">BF6+1</f>
        <v>2028</v>
      </c>
      <c r="BS6" s="56">
        <f t="shared" ref="BS6" si="44">BG6+1</f>
        <v>2028</v>
      </c>
      <c r="BT6" s="56">
        <f t="shared" ref="BT6" si="45">BH6+1</f>
        <v>2028</v>
      </c>
      <c r="BU6" s="56">
        <f t="shared" ref="BU6" si="46">BI6+1</f>
        <v>2028</v>
      </c>
      <c r="BV6" s="56">
        <f t="shared" ref="BV6" si="47">BJ6+1</f>
        <v>2028</v>
      </c>
      <c r="BW6" s="56">
        <f>BK6+1</f>
        <v>2029</v>
      </c>
      <c r="BX6" s="56">
        <f t="shared" ref="BX6" si="48">BL6+1</f>
        <v>2029</v>
      </c>
      <c r="BY6" s="56">
        <f t="shared" ref="BY6" si="49">BM6+1</f>
        <v>2029</v>
      </c>
      <c r="BZ6" s="56">
        <f t="shared" ref="BZ6" si="50">BN6+1</f>
        <v>2029</v>
      </c>
      <c r="CA6" s="56">
        <f t="shared" ref="CA6" si="51">BO6+1</f>
        <v>2029</v>
      </c>
      <c r="CB6" s="56">
        <f t="shared" ref="CB6" si="52">BP6+1</f>
        <v>2029</v>
      </c>
      <c r="CC6" s="56">
        <f t="shared" ref="CC6" si="53">BQ6+1</f>
        <v>2029</v>
      </c>
      <c r="CD6" s="56">
        <f t="shared" ref="CD6" si="54">BR6+1</f>
        <v>2029</v>
      </c>
      <c r="CE6" s="56">
        <f t="shared" ref="CE6" si="55">BS6+1</f>
        <v>2029</v>
      </c>
      <c r="CF6" s="56">
        <f t="shared" ref="CF6" si="56">BT6+1</f>
        <v>2029</v>
      </c>
      <c r="CG6" s="56">
        <f t="shared" ref="CG6" si="57">BU6+1</f>
        <v>2029</v>
      </c>
      <c r="CH6" s="56">
        <f t="shared" ref="CH6" si="58">BV6+1</f>
        <v>2029</v>
      </c>
      <c r="CI6" s="56">
        <f>BW6+1</f>
        <v>2030</v>
      </c>
      <c r="CJ6" s="56">
        <f t="shared" ref="CJ6" si="59">BX6+1</f>
        <v>2030</v>
      </c>
      <c r="CK6" s="56">
        <f t="shared" ref="CK6" si="60">BY6+1</f>
        <v>2030</v>
      </c>
      <c r="CL6" s="56">
        <f t="shared" ref="CL6" si="61">BZ6+1</f>
        <v>2030</v>
      </c>
      <c r="CM6" s="56">
        <f t="shared" ref="CM6" si="62">CA6+1</f>
        <v>2030</v>
      </c>
      <c r="CN6" s="56">
        <f t="shared" ref="CN6" si="63">CB6+1</f>
        <v>2030</v>
      </c>
      <c r="CO6" s="56">
        <f t="shared" ref="CO6" si="64">CC6+1</f>
        <v>2030</v>
      </c>
      <c r="CP6" s="56">
        <f t="shared" ref="CP6" si="65">CD6+1</f>
        <v>2030</v>
      </c>
      <c r="CQ6" s="56">
        <f t="shared" ref="CQ6" si="66">CE6+1</f>
        <v>2030</v>
      </c>
      <c r="CR6" s="56">
        <f t="shared" ref="CR6" si="67">CF6+1</f>
        <v>2030</v>
      </c>
      <c r="CS6" s="56">
        <f t="shared" ref="CS6" si="68">CG6+1</f>
        <v>2030</v>
      </c>
      <c r="CT6" s="56">
        <f t="shared" ref="CT6" si="69">CH6+1</f>
        <v>2030</v>
      </c>
    </row>
    <row r="7" spans="1:98" x14ac:dyDescent="0.35">
      <c r="C7" s="98"/>
      <c r="D7" s="99"/>
      <c r="E7" s="99"/>
      <c r="F7" s="99"/>
      <c r="G7" s="99"/>
    </row>
    <row r="8" spans="1:98" x14ac:dyDescent="0.35">
      <c r="A8" s="70" t="s">
        <v>64</v>
      </c>
      <c r="C8" s="66">
        <f>Input!D3</f>
        <v>332000000</v>
      </c>
      <c r="D8" s="66">
        <f>C8*(1+0.1%)</f>
        <v>332331999.99999994</v>
      </c>
      <c r="E8" s="66">
        <f t="shared" ref="E8:N8" si="70">D8*(1+0.1%)</f>
        <v>332664331.99999988</v>
      </c>
      <c r="F8" s="66">
        <f t="shared" si="70"/>
        <v>332996996.33199984</v>
      </c>
      <c r="G8" s="66">
        <f t="shared" si="70"/>
        <v>333329993.32833183</v>
      </c>
      <c r="H8" s="66">
        <f t="shared" si="70"/>
        <v>333663323.3216601</v>
      </c>
      <c r="I8" s="66">
        <f t="shared" si="70"/>
        <v>333996986.64498174</v>
      </c>
      <c r="J8" s="66">
        <f t="shared" si="70"/>
        <v>334330983.63162667</v>
      </c>
      <c r="K8" s="66">
        <f t="shared" si="70"/>
        <v>334665314.61525828</v>
      </c>
      <c r="L8" s="66">
        <f t="shared" si="70"/>
        <v>334999979.92987353</v>
      </c>
      <c r="M8" s="66">
        <f t="shared" si="70"/>
        <v>335334979.90980339</v>
      </c>
      <c r="N8" s="66">
        <f t="shared" si="70"/>
        <v>335670314.88971317</v>
      </c>
    </row>
    <row r="9" spans="1:98" x14ac:dyDescent="0.35">
      <c r="A9" s="70" t="s">
        <v>63</v>
      </c>
      <c r="C9" s="67">
        <v>4.0000000000000001E-3</v>
      </c>
      <c r="D9" s="67">
        <v>4.0000000000000001E-3</v>
      </c>
      <c r="E9" s="67">
        <v>4.0000000000000001E-3</v>
      </c>
      <c r="F9" s="67">
        <v>4.0000000000000001E-3</v>
      </c>
      <c r="G9" s="67">
        <v>4.0000000000000001E-3</v>
      </c>
      <c r="H9" s="67">
        <v>4.0000000000000001E-3</v>
      </c>
      <c r="I9" s="67">
        <v>4.0000000000000001E-3</v>
      </c>
      <c r="J9" s="67">
        <v>4.0000000000000001E-3</v>
      </c>
      <c r="K9" s="67">
        <v>4.0000000000000001E-3</v>
      </c>
      <c r="L9" s="67">
        <v>4.0000000000000001E-3</v>
      </c>
      <c r="M9" s="67">
        <v>4.0000000000000001E-3</v>
      </c>
      <c r="N9" s="67">
        <v>4.0000000000000001E-3</v>
      </c>
    </row>
    <row r="10" spans="1:98" x14ac:dyDescent="0.35">
      <c r="C10" s="57"/>
      <c r="D10" s="57"/>
      <c r="E10" s="57"/>
      <c r="F10" s="57"/>
      <c r="G10" s="57"/>
      <c r="H10" s="57"/>
      <c r="I10" s="57"/>
      <c r="J10" s="57"/>
      <c r="K10" s="57"/>
      <c r="L10" s="57"/>
      <c r="M10" s="57"/>
      <c r="N10" s="57"/>
    </row>
    <row r="11" spans="1:98" x14ac:dyDescent="0.35">
      <c r="A11" s="49" t="s">
        <v>65</v>
      </c>
      <c r="C11" s="68">
        <f>C9*C8</f>
        <v>1328000</v>
      </c>
      <c r="D11" s="68">
        <f t="shared" ref="D11:N11" si="71">D9*D8</f>
        <v>1329327.9999999998</v>
      </c>
      <c r="E11" s="68">
        <f t="shared" si="71"/>
        <v>1330657.3279999995</v>
      </c>
      <c r="F11" s="68">
        <f t="shared" si="71"/>
        <v>1331987.9853279993</v>
      </c>
      <c r="G11" s="68">
        <f t="shared" si="71"/>
        <v>1333319.9733133274</v>
      </c>
      <c r="H11" s="68">
        <f t="shared" si="71"/>
        <v>1334653.2932866404</v>
      </c>
      <c r="I11" s="68">
        <f t="shared" si="71"/>
        <v>1335987.9465799269</v>
      </c>
      <c r="J11" s="68">
        <f t="shared" si="71"/>
        <v>1337323.9345265066</v>
      </c>
      <c r="K11" s="68">
        <f t="shared" si="71"/>
        <v>1338661.2584610332</v>
      </c>
      <c r="L11" s="68">
        <f t="shared" si="71"/>
        <v>1339999.9197194942</v>
      </c>
      <c r="M11" s="68">
        <f t="shared" si="71"/>
        <v>1341339.9196392135</v>
      </c>
      <c r="N11" s="68">
        <f t="shared" si="71"/>
        <v>1342681.2595588528</v>
      </c>
    </row>
    <row r="12" spans="1:98" x14ac:dyDescent="0.35">
      <c r="A12" s="70" t="s">
        <v>66</v>
      </c>
      <c r="C12" s="69">
        <v>0.95</v>
      </c>
      <c r="D12" s="69">
        <v>0.95</v>
      </c>
      <c r="E12" s="69">
        <v>0.95</v>
      </c>
      <c r="F12" s="69">
        <v>0.95</v>
      </c>
      <c r="G12" s="69">
        <v>0.95</v>
      </c>
      <c r="H12" s="69">
        <v>0.95</v>
      </c>
      <c r="I12" s="69">
        <v>0.95</v>
      </c>
      <c r="J12" s="69">
        <v>0.95</v>
      </c>
      <c r="K12" s="69">
        <v>0.95</v>
      </c>
      <c r="L12" s="69">
        <v>0.95</v>
      </c>
      <c r="M12" s="69">
        <v>0.95</v>
      </c>
      <c r="N12" s="69">
        <v>0.95</v>
      </c>
    </row>
    <row r="13" spans="1:98" x14ac:dyDescent="0.35">
      <c r="C13" s="57"/>
      <c r="D13" s="57"/>
      <c r="E13" s="57"/>
      <c r="F13" s="57"/>
      <c r="G13" s="57"/>
      <c r="H13" s="57"/>
      <c r="I13" s="57"/>
      <c r="J13" s="57"/>
      <c r="K13" s="57"/>
      <c r="L13" s="57"/>
      <c r="M13" s="57"/>
      <c r="N13" s="57"/>
    </row>
    <row r="14" spans="1:98" x14ac:dyDescent="0.35">
      <c r="A14" s="70" t="s">
        <v>67</v>
      </c>
      <c r="C14" s="68">
        <f>C12*C11</f>
        <v>1261600</v>
      </c>
      <c r="D14" s="68">
        <f t="shared" ref="D14:N14" si="72">D12*D11</f>
        <v>1262861.5999999996</v>
      </c>
      <c r="E14" s="68">
        <f t="shared" si="72"/>
        <v>1264124.4615999996</v>
      </c>
      <c r="F14" s="68">
        <f t="shared" si="72"/>
        <v>1265388.5860615992</v>
      </c>
      <c r="G14" s="68">
        <f t="shared" si="72"/>
        <v>1266653.974647661</v>
      </c>
      <c r="H14" s="68">
        <f t="shared" si="72"/>
        <v>1267920.6286223084</v>
      </c>
      <c r="I14" s="68">
        <f t="shared" si="72"/>
        <v>1269188.5492509305</v>
      </c>
      <c r="J14" s="68">
        <f t="shared" si="72"/>
        <v>1270457.7378001811</v>
      </c>
      <c r="K14" s="68">
        <f t="shared" si="72"/>
        <v>1271728.1955379816</v>
      </c>
      <c r="L14" s="68">
        <f t="shared" si="72"/>
        <v>1272999.9237335194</v>
      </c>
      <c r="M14" s="68">
        <f t="shared" si="72"/>
        <v>1274272.9236572527</v>
      </c>
      <c r="N14" s="68">
        <f t="shared" si="72"/>
        <v>1275547.1965809101</v>
      </c>
    </row>
    <row r="16" spans="1:98" x14ac:dyDescent="0.35">
      <c r="A16" s="49" t="s">
        <v>68</v>
      </c>
    </row>
    <row r="17" spans="1:16" x14ac:dyDescent="0.35">
      <c r="A17" s="71" t="s">
        <v>69</v>
      </c>
      <c r="B17" s="52"/>
      <c r="C17" s="72">
        <f>Input!D7</f>
        <v>0.8</v>
      </c>
      <c r="D17" s="72">
        <v>0.8</v>
      </c>
      <c r="E17" s="72">
        <v>0.8</v>
      </c>
      <c r="F17" s="72">
        <v>0.8</v>
      </c>
      <c r="G17" s="72">
        <v>0.8</v>
      </c>
      <c r="H17" s="72">
        <v>0.8</v>
      </c>
      <c r="I17" s="72">
        <v>0.8</v>
      </c>
      <c r="J17" s="72">
        <v>0.8</v>
      </c>
      <c r="K17" s="72">
        <v>0.8</v>
      </c>
      <c r="L17" s="72">
        <v>0.8</v>
      </c>
      <c r="M17" s="72">
        <v>0.8</v>
      </c>
      <c r="N17" s="72">
        <v>0.8</v>
      </c>
    </row>
    <row r="18" spans="1:16" x14ac:dyDescent="0.35">
      <c r="A18" s="71" t="s">
        <v>70</v>
      </c>
      <c r="B18" s="52"/>
      <c r="C18" s="72">
        <v>0.15</v>
      </c>
      <c r="D18" s="72">
        <v>0.15</v>
      </c>
      <c r="E18" s="72">
        <v>0.15</v>
      </c>
      <c r="F18" s="72">
        <v>0.15</v>
      </c>
      <c r="G18" s="72">
        <v>0.15</v>
      </c>
      <c r="H18" s="72">
        <v>0.15</v>
      </c>
      <c r="I18" s="72">
        <v>0.15</v>
      </c>
      <c r="J18" s="72">
        <v>0.15</v>
      </c>
      <c r="K18" s="72">
        <v>0.15</v>
      </c>
      <c r="L18" s="72">
        <v>0.15</v>
      </c>
      <c r="M18" s="72">
        <v>0.15</v>
      </c>
      <c r="N18" s="72">
        <v>0.15</v>
      </c>
    </row>
    <row r="19" spans="1:16" x14ac:dyDescent="0.35">
      <c r="A19" s="71" t="s">
        <v>71</v>
      </c>
      <c r="B19" s="52"/>
      <c r="C19" s="72">
        <v>0.05</v>
      </c>
      <c r="D19" s="72">
        <v>0.05</v>
      </c>
      <c r="E19" s="72">
        <v>0.05</v>
      </c>
      <c r="F19" s="72">
        <v>0.05</v>
      </c>
      <c r="G19" s="72">
        <v>0.05</v>
      </c>
      <c r="H19" s="72">
        <v>0.05</v>
      </c>
      <c r="I19" s="72">
        <v>0.05</v>
      </c>
      <c r="J19" s="72">
        <v>0.05</v>
      </c>
      <c r="K19" s="72">
        <v>0.05</v>
      </c>
      <c r="L19" s="72">
        <v>0.05</v>
      </c>
      <c r="M19" s="72">
        <v>0.05</v>
      </c>
      <c r="N19" s="72">
        <v>0.05</v>
      </c>
    </row>
    <row r="20" spans="1:16" x14ac:dyDescent="0.35">
      <c r="C20" s="54"/>
    </row>
    <row r="21" spans="1:16" x14ac:dyDescent="0.35">
      <c r="A21" s="49" t="s">
        <v>73</v>
      </c>
      <c r="C21" s="54"/>
      <c r="D21" s="54"/>
      <c r="E21" s="54"/>
    </row>
    <row r="22" spans="1:16" x14ac:dyDescent="0.35">
      <c r="A22" s="49" t="s">
        <v>69</v>
      </c>
      <c r="C22" s="74">
        <f>VLOOKUP($A$22,$A$17:$N$19,3,FALSE)</f>
        <v>0.8</v>
      </c>
      <c r="D22" s="74">
        <f t="shared" ref="D22:N22" si="73">VLOOKUP($A$22,$A$17:$N$19,3,FALSE)</f>
        <v>0.8</v>
      </c>
      <c r="E22" s="74">
        <f t="shared" si="73"/>
        <v>0.8</v>
      </c>
      <c r="F22" s="74">
        <f t="shared" si="73"/>
        <v>0.8</v>
      </c>
      <c r="G22" s="74">
        <f t="shared" si="73"/>
        <v>0.8</v>
      </c>
      <c r="H22" s="74">
        <f t="shared" si="73"/>
        <v>0.8</v>
      </c>
      <c r="I22" s="74">
        <f t="shared" si="73"/>
        <v>0.8</v>
      </c>
      <c r="J22" s="74">
        <f t="shared" si="73"/>
        <v>0.8</v>
      </c>
      <c r="K22" s="74">
        <f t="shared" si="73"/>
        <v>0.8</v>
      </c>
      <c r="L22" s="74">
        <f t="shared" si="73"/>
        <v>0.8</v>
      </c>
      <c r="M22" s="74">
        <f t="shared" si="73"/>
        <v>0.8</v>
      </c>
      <c r="N22" s="74">
        <f t="shared" si="73"/>
        <v>0.8</v>
      </c>
      <c r="O22" s="57"/>
      <c r="P22" s="57"/>
    </row>
    <row r="23" spans="1:16" x14ac:dyDescent="0.35">
      <c r="A23" s="50"/>
      <c r="C23" s="74"/>
      <c r="D23" s="74"/>
      <c r="E23" s="74"/>
      <c r="F23" s="74"/>
      <c r="G23" s="74"/>
      <c r="H23" s="74"/>
      <c r="I23" s="74"/>
      <c r="J23" s="74"/>
      <c r="K23" s="74"/>
      <c r="L23" s="74"/>
      <c r="M23" s="74"/>
      <c r="N23" s="74"/>
      <c r="O23" s="57"/>
      <c r="P23" s="57"/>
    </row>
    <row r="24" spans="1:16" x14ac:dyDescent="0.35">
      <c r="A24" s="49" t="str">
        <f>"Selected" &amp; A22&amp;" "&amp;" Patients"</f>
        <v>SelectedSub-type I (NSCLC)  Patients</v>
      </c>
      <c r="C24" s="68">
        <f>C22*C14</f>
        <v>1009280</v>
      </c>
      <c r="D24" s="68">
        <f t="shared" ref="D24:N24" si="74">D22*D14</f>
        <v>1010289.2799999998</v>
      </c>
      <c r="E24" s="68">
        <f t="shared" si="74"/>
        <v>1011299.5692799997</v>
      </c>
      <c r="F24" s="68">
        <f t="shared" si="74"/>
        <v>1012310.8688492794</v>
      </c>
      <c r="G24" s="68">
        <f t="shared" si="74"/>
        <v>1013323.1797181289</v>
      </c>
      <c r="H24" s="68">
        <f t="shared" si="74"/>
        <v>1014336.5028978467</v>
      </c>
      <c r="I24" s="68">
        <f t="shared" si="74"/>
        <v>1015350.8394007445</v>
      </c>
      <c r="J24" s="68">
        <f t="shared" si="74"/>
        <v>1016366.190240145</v>
      </c>
      <c r="K24" s="68">
        <f t="shared" si="74"/>
        <v>1017382.5564303853</v>
      </c>
      <c r="L24" s="68">
        <f t="shared" si="74"/>
        <v>1018399.9389868155</v>
      </c>
      <c r="M24" s="68">
        <f t="shared" si="74"/>
        <v>1019418.3389258021</v>
      </c>
      <c r="N24" s="68">
        <f t="shared" si="74"/>
        <v>1020437.7572647282</v>
      </c>
      <c r="O24" s="57"/>
      <c r="P24" s="57"/>
    </row>
    <row r="25" spans="1:16" x14ac:dyDescent="0.35">
      <c r="C25" s="68"/>
      <c r="D25" s="68"/>
      <c r="E25" s="68"/>
      <c r="F25" s="68"/>
      <c r="G25" s="68"/>
      <c r="H25" s="68"/>
      <c r="I25" s="68"/>
      <c r="J25" s="68"/>
      <c r="K25" s="68"/>
      <c r="L25" s="68"/>
      <c r="M25" s="68"/>
      <c r="N25" s="68"/>
      <c r="O25" s="57"/>
      <c r="P25" s="57"/>
    </row>
    <row r="26" spans="1:16" x14ac:dyDescent="0.35">
      <c r="A26" s="49" t="s">
        <v>74</v>
      </c>
      <c r="C26" s="57"/>
      <c r="D26" s="57"/>
      <c r="E26" s="57"/>
      <c r="F26" s="57"/>
      <c r="G26" s="57"/>
      <c r="H26" s="57"/>
      <c r="I26" s="57"/>
      <c r="J26" s="57"/>
      <c r="K26" s="57"/>
      <c r="L26" s="57"/>
      <c r="M26" s="57"/>
      <c r="N26" s="57"/>
      <c r="O26" s="57"/>
      <c r="P26" s="57"/>
    </row>
    <row r="27" spans="1:16" x14ac:dyDescent="0.35">
      <c r="A27" s="70" t="s">
        <v>26</v>
      </c>
      <c r="C27" s="69">
        <v>0.15</v>
      </c>
      <c r="D27" s="69">
        <v>0.15</v>
      </c>
      <c r="E27" s="69">
        <v>0.15</v>
      </c>
      <c r="F27" s="69">
        <v>0.15</v>
      </c>
      <c r="G27" s="69">
        <v>0.15</v>
      </c>
      <c r="H27" s="69">
        <v>0.15</v>
      </c>
      <c r="I27" s="69">
        <v>0.15</v>
      </c>
      <c r="J27" s="69">
        <v>0.15</v>
      </c>
      <c r="K27" s="69">
        <v>0.15</v>
      </c>
      <c r="L27" s="69">
        <v>0.15</v>
      </c>
      <c r="M27" s="69">
        <v>0.15</v>
      </c>
      <c r="N27" s="69">
        <v>0.15</v>
      </c>
      <c r="O27" s="57"/>
      <c r="P27" s="57"/>
    </row>
    <row r="28" spans="1:16" x14ac:dyDescent="0.35">
      <c r="A28" s="70" t="s">
        <v>27</v>
      </c>
      <c r="C28" s="69">
        <v>0.2</v>
      </c>
      <c r="D28" s="69">
        <v>0.2</v>
      </c>
      <c r="E28" s="69">
        <v>0.2</v>
      </c>
      <c r="F28" s="69">
        <v>0.2</v>
      </c>
      <c r="G28" s="69">
        <v>0.2</v>
      </c>
      <c r="H28" s="69">
        <v>0.2</v>
      </c>
      <c r="I28" s="69">
        <v>0.2</v>
      </c>
      <c r="J28" s="69">
        <v>0.2</v>
      </c>
      <c r="K28" s="69">
        <v>0.2</v>
      </c>
      <c r="L28" s="69">
        <v>0.2</v>
      </c>
      <c r="M28" s="69">
        <v>0.2</v>
      </c>
      <c r="N28" s="69">
        <v>0.2</v>
      </c>
      <c r="O28" s="57"/>
      <c r="P28" s="57"/>
    </row>
    <row r="29" spans="1:16" x14ac:dyDescent="0.35">
      <c r="A29" s="70" t="s">
        <v>28</v>
      </c>
      <c r="C29" s="69">
        <v>0.25</v>
      </c>
      <c r="D29" s="69">
        <v>0.25</v>
      </c>
      <c r="E29" s="69">
        <v>0.25</v>
      </c>
      <c r="F29" s="69">
        <v>0.25</v>
      </c>
      <c r="G29" s="69">
        <v>0.25</v>
      </c>
      <c r="H29" s="69">
        <v>0.25</v>
      </c>
      <c r="I29" s="69">
        <v>0.25</v>
      </c>
      <c r="J29" s="69">
        <v>0.25</v>
      </c>
      <c r="K29" s="69">
        <v>0.25</v>
      </c>
      <c r="L29" s="69">
        <v>0.25</v>
      </c>
      <c r="M29" s="69">
        <v>0.25</v>
      </c>
      <c r="N29" s="69">
        <v>0.25</v>
      </c>
      <c r="O29" s="57"/>
      <c r="P29" s="57"/>
    </row>
    <row r="30" spans="1:16" x14ac:dyDescent="0.35">
      <c r="A30" s="70" t="s">
        <v>29</v>
      </c>
      <c r="C30" s="69">
        <v>0.4</v>
      </c>
      <c r="D30" s="69">
        <v>0.4</v>
      </c>
      <c r="E30" s="69">
        <v>0.4</v>
      </c>
      <c r="F30" s="69">
        <v>0.4</v>
      </c>
      <c r="G30" s="69">
        <v>0.4</v>
      </c>
      <c r="H30" s="69">
        <v>0.4</v>
      </c>
      <c r="I30" s="69">
        <v>0.4</v>
      </c>
      <c r="J30" s="69">
        <v>0.4</v>
      </c>
      <c r="K30" s="69">
        <v>0.4</v>
      </c>
      <c r="L30" s="69">
        <v>0.4</v>
      </c>
      <c r="M30" s="69">
        <v>0.4</v>
      </c>
      <c r="N30" s="69">
        <v>0.4</v>
      </c>
      <c r="O30" s="57"/>
      <c r="P30" s="57"/>
    </row>
    <row r="31" spans="1:16" x14ac:dyDescent="0.35">
      <c r="C31" s="69"/>
      <c r="D31" s="69"/>
      <c r="E31" s="69"/>
      <c r="F31" s="69"/>
      <c r="G31" s="69"/>
      <c r="H31" s="69"/>
      <c r="I31" s="69"/>
      <c r="J31" s="69"/>
      <c r="K31" s="69"/>
      <c r="L31" s="69"/>
      <c r="M31" s="69"/>
      <c r="N31" s="69"/>
      <c r="O31" s="57"/>
      <c r="P31" s="57"/>
    </row>
    <row r="32" spans="1:16" ht="18.600000000000001" thickBot="1" x14ac:dyDescent="0.4">
      <c r="C32" s="69"/>
      <c r="D32" s="69"/>
      <c r="E32" s="69"/>
      <c r="F32" s="69"/>
      <c r="G32" s="69"/>
      <c r="H32" s="69"/>
      <c r="I32" s="69"/>
      <c r="J32" s="69"/>
      <c r="K32" s="69"/>
      <c r="L32" s="69"/>
      <c r="M32" s="69"/>
      <c r="N32" s="69"/>
      <c r="O32" s="57"/>
      <c r="P32" s="57"/>
    </row>
    <row r="33" spans="1:16" x14ac:dyDescent="0.35">
      <c r="A33" s="75" t="s">
        <v>26</v>
      </c>
      <c r="B33" s="76"/>
      <c r="C33" s="77">
        <f>C27*C24</f>
        <v>151392</v>
      </c>
      <c r="D33" s="77">
        <f t="shared" ref="D33:N33" si="75">D27*D24</f>
        <v>151543.39199999996</v>
      </c>
      <c r="E33" s="77">
        <f t="shared" si="75"/>
        <v>151694.93539199996</v>
      </c>
      <c r="F33" s="77">
        <f t="shared" si="75"/>
        <v>151846.6303273919</v>
      </c>
      <c r="G33" s="77">
        <f t="shared" si="75"/>
        <v>151998.47695771934</v>
      </c>
      <c r="H33" s="77">
        <f t="shared" si="75"/>
        <v>152150.47543467701</v>
      </c>
      <c r="I33" s="77">
        <f t="shared" si="75"/>
        <v>152302.62591011167</v>
      </c>
      <c r="J33" s="77">
        <f t="shared" si="75"/>
        <v>152454.92853602173</v>
      </c>
      <c r="K33" s="77">
        <f t="shared" si="75"/>
        <v>152607.38346455779</v>
      </c>
      <c r="L33" s="77">
        <f t="shared" si="75"/>
        <v>152759.99084802231</v>
      </c>
      <c r="M33" s="77">
        <f t="shared" si="75"/>
        <v>152912.75083887033</v>
      </c>
      <c r="N33" s="78">
        <f t="shared" si="75"/>
        <v>153065.66358970923</v>
      </c>
      <c r="O33" s="57"/>
      <c r="P33" s="57"/>
    </row>
    <row r="34" spans="1:16" x14ac:dyDescent="0.35">
      <c r="A34" s="79" t="s">
        <v>27</v>
      </c>
      <c r="B34" s="80"/>
      <c r="C34" s="81">
        <f>C28*C24</f>
        <v>201856</v>
      </c>
      <c r="D34" s="81">
        <f t="shared" ref="D34:N34" si="76">D28*D24</f>
        <v>202057.85599999997</v>
      </c>
      <c r="E34" s="81">
        <f t="shared" si="76"/>
        <v>202259.91385599994</v>
      </c>
      <c r="F34" s="81">
        <f t="shared" si="76"/>
        <v>202462.17376985587</v>
      </c>
      <c r="G34" s="81">
        <f t="shared" si="76"/>
        <v>202664.63594362579</v>
      </c>
      <c r="H34" s="81">
        <f t="shared" si="76"/>
        <v>202867.30057956936</v>
      </c>
      <c r="I34" s="81">
        <f t="shared" si="76"/>
        <v>203070.16788014892</v>
      </c>
      <c r="J34" s="81">
        <f t="shared" si="76"/>
        <v>203273.23804802902</v>
      </c>
      <c r="K34" s="81">
        <f t="shared" si="76"/>
        <v>203476.51128607709</v>
      </c>
      <c r="L34" s="81">
        <f t="shared" si="76"/>
        <v>203679.98779736311</v>
      </c>
      <c r="M34" s="81">
        <f t="shared" si="76"/>
        <v>203883.66778516045</v>
      </c>
      <c r="N34" s="82">
        <f t="shared" si="76"/>
        <v>204087.55145294566</v>
      </c>
      <c r="O34" s="57"/>
      <c r="P34" s="57"/>
    </row>
    <row r="35" spans="1:16" x14ac:dyDescent="0.35">
      <c r="A35" s="79" t="s">
        <v>28</v>
      </c>
      <c r="B35" s="80"/>
      <c r="C35" s="81">
        <f>C29*C24</f>
        <v>252320</v>
      </c>
      <c r="D35" s="81">
        <f t="shared" ref="D35:N35" si="77">D29*D24</f>
        <v>252572.31999999995</v>
      </c>
      <c r="E35" s="81">
        <f t="shared" si="77"/>
        <v>252824.89231999993</v>
      </c>
      <c r="F35" s="81">
        <f t="shared" si="77"/>
        <v>253077.71721231984</v>
      </c>
      <c r="G35" s="81">
        <f t="shared" si="77"/>
        <v>253330.79492953222</v>
      </c>
      <c r="H35" s="81">
        <f t="shared" si="77"/>
        <v>253584.12572446169</v>
      </c>
      <c r="I35" s="81">
        <f t="shared" si="77"/>
        <v>253837.70985018613</v>
      </c>
      <c r="J35" s="81">
        <f t="shared" si="77"/>
        <v>254091.54756003624</v>
      </c>
      <c r="K35" s="81">
        <f t="shared" si="77"/>
        <v>254345.63910759633</v>
      </c>
      <c r="L35" s="81">
        <f t="shared" si="77"/>
        <v>254599.98474670388</v>
      </c>
      <c r="M35" s="81">
        <f t="shared" si="77"/>
        <v>254854.58473145054</v>
      </c>
      <c r="N35" s="82">
        <f t="shared" si="77"/>
        <v>255109.43931618205</v>
      </c>
      <c r="O35" s="57"/>
      <c r="P35" s="57"/>
    </row>
    <row r="36" spans="1:16" x14ac:dyDescent="0.35">
      <c r="A36" s="79" t="s">
        <v>29</v>
      </c>
      <c r="B36" s="80"/>
      <c r="C36" s="81">
        <f>C30*C24</f>
        <v>403712</v>
      </c>
      <c r="D36" s="81">
        <f t="shared" ref="D36:N36" si="78">D30*D24</f>
        <v>404115.71199999994</v>
      </c>
      <c r="E36" s="81">
        <f t="shared" si="78"/>
        <v>404519.82771199988</v>
      </c>
      <c r="F36" s="81">
        <f t="shared" si="78"/>
        <v>404924.34753971174</v>
      </c>
      <c r="G36" s="81">
        <f t="shared" si="78"/>
        <v>405329.27188725158</v>
      </c>
      <c r="H36" s="81">
        <f t="shared" si="78"/>
        <v>405734.60115913872</v>
      </c>
      <c r="I36" s="81">
        <f t="shared" si="78"/>
        <v>406140.33576029784</v>
      </c>
      <c r="J36" s="81">
        <f t="shared" si="78"/>
        <v>406546.47609605803</v>
      </c>
      <c r="K36" s="81">
        <f t="shared" si="78"/>
        <v>406953.02257215418</v>
      </c>
      <c r="L36" s="81">
        <f t="shared" si="78"/>
        <v>407359.97559472622</v>
      </c>
      <c r="M36" s="81">
        <f t="shared" si="78"/>
        <v>407767.33557032089</v>
      </c>
      <c r="N36" s="82">
        <f t="shared" si="78"/>
        <v>408175.10290589131</v>
      </c>
      <c r="O36" s="57"/>
      <c r="P36" s="57"/>
    </row>
    <row r="37" spans="1:16" x14ac:dyDescent="0.35">
      <c r="A37" s="79"/>
      <c r="B37" s="80"/>
      <c r="C37" s="83"/>
      <c r="D37" s="83"/>
      <c r="E37" s="83"/>
      <c r="F37" s="83"/>
      <c r="G37" s="83"/>
      <c r="H37" s="83"/>
      <c r="I37" s="83"/>
      <c r="J37" s="83"/>
      <c r="K37" s="83"/>
      <c r="L37" s="83"/>
      <c r="M37" s="83"/>
      <c r="N37" s="84"/>
      <c r="O37" s="57"/>
      <c r="P37" s="57"/>
    </row>
    <row r="38" spans="1:16" x14ac:dyDescent="0.35">
      <c r="A38" s="79" t="s">
        <v>36</v>
      </c>
      <c r="B38" s="80"/>
      <c r="C38" s="89">
        <f>SUM(C33:C34)</f>
        <v>353248</v>
      </c>
      <c r="D38" s="89">
        <f t="shared" ref="D38:N38" si="79">SUM(D33:D34)</f>
        <v>353601.24799999991</v>
      </c>
      <c r="E38" s="89">
        <f t="shared" si="79"/>
        <v>353954.8492479999</v>
      </c>
      <c r="F38" s="89">
        <f t="shared" si="79"/>
        <v>354308.80409724778</v>
      </c>
      <c r="G38" s="89">
        <f t="shared" si="79"/>
        <v>354663.11290134513</v>
      </c>
      <c r="H38" s="89">
        <f t="shared" si="79"/>
        <v>355017.7760142464</v>
      </c>
      <c r="I38" s="89">
        <f t="shared" si="79"/>
        <v>355372.79379026056</v>
      </c>
      <c r="J38" s="89">
        <f t="shared" si="79"/>
        <v>355728.16658405075</v>
      </c>
      <c r="K38" s="89">
        <f t="shared" si="79"/>
        <v>356083.89475063491</v>
      </c>
      <c r="L38" s="89">
        <f t="shared" si="79"/>
        <v>356439.97864538542</v>
      </c>
      <c r="M38" s="89">
        <f t="shared" si="79"/>
        <v>356796.41862403078</v>
      </c>
      <c r="N38" s="89">
        <f t="shared" si="79"/>
        <v>357153.21504265489</v>
      </c>
      <c r="O38" s="57"/>
      <c r="P38" s="57"/>
    </row>
    <row r="39" spans="1:16" x14ac:dyDescent="0.35">
      <c r="A39" s="79" t="s">
        <v>75</v>
      </c>
      <c r="B39" s="80"/>
      <c r="C39" s="89">
        <f>SUM(C33:C35)</f>
        <v>605568</v>
      </c>
      <c r="D39" s="89">
        <f t="shared" ref="D39:N39" si="80">SUM(D33:D35)</f>
        <v>606173.56799999985</v>
      </c>
      <c r="E39" s="89">
        <f t="shared" si="80"/>
        <v>606779.74156799982</v>
      </c>
      <c r="F39" s="89">
        <f t="shared" si="80"/>
        <v>607386.52130956762</v>
      </c>
      <c r="G39" s="89">
        <f t="shared" si="80"/>
        <v>607993.90783087735</v>
      </c>
      <c r="H39" s="89">
        <f t="shared" si="80"/>
        <v>608601.90173870814</v>
      </c>
      <c r="I39" s="89">
        <f t="shared" si="80"/>
        <v>609210.5036404467</v>
      </c>
      <c r="J39" s="89">
        <f t="shared" si="80"/>
        <v>609819.71414408693</v>
      </c>
      <c r="K39" s="89">
        <f t="shared" si="80"/>
        <v>610429.53385823127</v>
      </c>
      <c r="L39" s="89">
        <f t="shared" si="80"/>
        <v>611039.96339208935</v>
      </c>
      <c r="M39" s="89">
        <f t="shared" si="80"/>
        <v>611651.00335548131</v>
      </c>
      <c r="N39" s="89">
        <f t="shared" si="80"/>
        <v>612262.65435883694</v>
      </c>
      <c r="O39" s="57"/>
      <c r="P39" s="57"/>
    </row>
    <row r="40" spans="1:16" x14ac:dyDescent="0.35">
      <c r="A40" s="79"/>
      <c r="B40" s="80"/>
      <c r="C40" s="83"/>
      <c r="D40" s="83"/>
      <c r="E40" s="83"/>
      <c r="F40" s="83"/>
      <c r="G40" s="83"/>
      <c r="H40" s="83"/>
      <c r="I40" s="83"/>
      <c r="J40" s="83"/>
      <c r="K40" s="83"/>
      <c r="L40" s="83"/>
      <c r="M40" s="83"/>
      <c r="N40" s="84"/>
      <c r="O40" s="57"/>
      <c r="P40" s="57"/>
    </row>
    <row r="41" spans="1:16" ht="18.600000000000001" thickBot="1" x14ac:dyDescent="0.4">
      <c r="A41" s="85"/>
      <c r="B41" s="86"/>
      <c r="C41" s="87"/>
      <c r="D41" s="87"/>
      <c r="E41" s="87"/>
      <c r="F41" s="87"/>
      <c r="G41" s="87"/>
      <c r="H41" s="87"/>
      <c r="I41" s="87"/>
      <c r="J41" s="87"/>
      <c r="K41" s="87"/>
      <c r="L41" s="87"/>
      <c r="M41" s="87"/>
      <c r="N41" s="88"/>
      <c r="O41" s="57"/>
      <c r="P41" s="57"/>
    </row>
    <row r="42" spans="1:16" x14ac:dyDescent="0.35">
      <c r="C42" s="69"/>
      <c r="D42" s="69"/>
      <c r="E42" s="69"/>
      <c r="F42" s="69"/>
      <c r="G42" s="69"/>
      <c r="H42" s="69"/>
      <c r="I42" s="69"/>
      <c r="J42" s="69"/>
      <c r="K42" s="69"/>
      <c r="L42" s="69"/>
      <c r="M42" s="69"/>
      <c r="N42" s="69"/>
      <c r="O42" s="57"/>
      <c r="P42" s="57"/>
    </row>
    <row r="43" spans="1:16" x14ac:dyDescent="0.35">
      <c r="A43" s="49" t="s">
        <v>30</v>
      </c>
    </row>
    <row r="44" spans="1:16" x14ac:dyDescent="0.35">
      <c r="A44" s="49" t="s">
        <v>29</v>
      </c>
      <c r="C44" s="74">
        <f t="shared" ref="C44:N44" si="81">VLOOKUP($A$44,$A$27:$N$30,3,FALSE)</f>
        <v>0.4</v>
      </c>
      <c r="D44" s="74">
        <f t="shared" si="81"/>
        <v>0.4</v>
      </c>
      <c r="E44" s="74">
        <f t="shared" si="81"/>
        <v>0.4</v>
      </c>
      <c r="F44" s="74">
        <f t="shared" si="81"/>
        <v>0.4</v>
      </c>
      <c r="G44" s="74">
        <f t="shared" si="81"/>
        <v>0.4</v>
      </c>
      <c r="H44" s="74">
        <f t="shared" si="81"/>
        <v>0.4</v>
      </c>
      <c r="I44" s="74">
        <f t="shared" si="81"/>
        <v>0.4</v>
      </c>
      <c r="J44" s="74">
        <f t="shared" si="81"/>
        <v>0.4</v>
      </c>
      <c r="K44" s="74">
        <f t="shared" si="81"/>
        <v>0.4</v>
      </c>
      <c r="L44" s="74">
        <f t="shared" si="81"/>
        <v>0.4</v>
      </c>
      <c r="M44" s="74">
        <f t="shared" si="81"/>
        <v>0.4</v>
      </c>
      <c r="N44" s="74">
        <f t="shared" si="81"/>
        <v>0.4</v>
      </c>
    </row>
    <row r="46" spans="1:16" x14ac:dyDescent="0.35">
      <c r="A46" s="49" t="str">
        <f>"Selected" &amp; A44 &amp; " Patients"</f>
        <v>SelectedStage IV Patients</v>
      </c>
      <c r="C46" s="53">
        <f t="shared" ref="C46:N46" si="82">C44*C24</f>
        <v>403712</v>
      </c>
      <c r="D46" s="53">
        <f t="shared" si="82"/>
        <v>404115.71199999994</v>
      </c>
      <c r="E46" s="53">
        <f t="shared" si="82"/>
        <v>404519.82771199988</v>
      </c>
      <c r="F46" s="53">
        <f t="shared" si="82"/>
        <v>404924.34753971174</v>
      </c>
      <c r="G46" s="53">
        <f t="shared" si="82"/>
        <v>405329.27188725158</v>
      </c>
      <c r="H46" s="53">
        <f t="shared" si="82"/>
        <v>405734.60115913872</v>
      </c>
      <c r="I46" s="53">
        <f t="shared" si="82"/>
        <v>406140.33576029784</v>
      </c>
      <c r="J46" s="53">
        <f t="shared" si="82"/>
        <v>406546.47609605803</v>
      </c>
      <c r="K46" s="53">
        <f t="shared" si="82"/>
        <v>406953.02257215418</v>
      </c>
      <c r="L46" s="53">
        <f t="shared" si="82"/>
        <v>407359.97559472622</v>
      </c>
      <c r="M46" s="53">
        <f t="shared" si="82"/>
        <v>407767.33557032089</v>
      </c>
      <c r="N46" s="53">
        <f t="shared" si="82"/>
        <v>408175.10290589131</v>
      </c>
    </row>
    <row r="47" spans="1:16" x14ac:dyDescent="0.35">
      <c r="C47" s="53"/>
      <c r="D47" s="53"/>
      <c r="E47" s="53"/>
      <c r="F47" s="53"/>
      <c r="G47" s="53"/>
      <c r="H47" s="53"/>
      <c r="I47" s="53"/>
      <c r="J47" s="53"/>
      <c r="K47" s="53"/>
      <c r="L47" s="53"/>
      <c r="M47" s="53"/>
      <c r="N47" s="53"/>
    </row>
    <row r="48" spans="1:16" x14ac:dyDescent="0.35">
      <c r="A48" s="49" t="s">
        <v>76</v>
      </c>
      <c r="B48" s="51" t="s">
        <v>80</v>
      </c>
      <c r="C48" s="53"/>
      <c r="D48" s="53"/>
      <c r="E48" s="53"/>
      <c r="F48" s="53"/>
      <c r="G48" s="53"/>
      <c r="H48" s="53"/>
      <c r="I48" s="53"/>
      <c r="J48" s="53"/>
      <c r="K48" s="53"/>
      <c r="L48" s="53"/>
      <c r="M48" s="53"/>
      <c r="N48" s="53"/>
    </row>
    <row r="49" spans="1:14" x14ac:dyDescent="0.35">
      <c r="A49" s="49" t="s">
        <v>77</v>
      </c>
      <c r="B49" s="52">
        <v>2</v>
      </c>
      <c r="C49" s="53">
        <f ca="1">IF($B49&lt;C$4,OFFSET(C33,0,-$B49)*10%,0)</f>
        <v>0</v>
      </c>
      <c r="D49" s="53">
        <f t="shared" ref="D49:N49" ca="1" si="83">IF($B49&lt;D$4,OFFSET(D33,0,-$B49)*10%,0)</f>
        <v>0</v>
      </c>
      <c r="E49" s="53">
        <f t="shared" ca="1" si="83"/>
        <v>15139.2</v>
      </c>
      <c r="F49" s="53">
        <f t="shared" ca="1" si="83"/>
        <v>15154.339199999997</v>
      </c>
      <c r="G49" s="53">
        <f t="shared" ca="1" si="83"/>
        <v>15169.493539199997</v>
      </c>
      <c r="H49" s="53">
        <f t="shared" ca="1" si="83"/>
        <v>15184.66303273919</v>
      </c>
      <c r="I49" s="53">
        <f t="shared" ca="1" si="83"/>
        <v>15199.847695771934</v>
      </c>
      <c r="J49" s="53">
        <f ca="1">IF($B49&lt;J$4,OFFSET(J33,0,-$B49)*10%,0)</f>
        <v>15215.047543467701</v>
      </c>
      <c r="K49" s="53">
        <f t="shared" ca="1" si="83"/>
        <v>15230.262591011167</v>
      </c>
      <c r="L49" s="53">
        <f t="shared" ca="1" si="83"/>
        <v>15245.492853602174</v>
      </c>
      <c r="M49" s="53">
        <f t="shared" ca="1" si="83"/>
        <v>15260.738346455779</v>
      </c>
      <c r="N49" s="53">
        <f t="shared" ca="1" si="83"/>
        <v>15275.999084802232</v>
      </c>
    </row>
    <row r="50" spans="1:14" x14ac:dyDescent="0.35">
      <c r="A50" s="49" t="s">
        <v>78</v>
      </c>
      <c r="B50" s="52">
        <v>6</v>
      </c>
      <c r="C50" s="53">
        <f ca="1">IF($B50&lt;C$4,OFFSET(C38,0,-$B50)*10%,0)</f>
        <v>0</v>
      </c>
      <c r="D50" s="53">
        <f t="shared" ref="D50:N50" ca="1" si="84">IF($B50&lt;D$4,OFFSET(D38,0,-$B50)*10%,0)</f>
        <v>0</v>
      </c>
      <c r="E50" s="53">
        <f t="shared" ca="1" si="84"/>
        <v>0</v>
      </c>
      <c r="F50" s="53">
        <f t="shared" ca="1" si="84"/>
        <v>0</v>
      </c>
      <c r="G50" s="53">
        <f t="shared" ca="1" si="84"/>
        <v>0</v>
      </c>
      <c r="H50" s="53">
        <f t="shared" ca="1" si="84"/>
        <v>0</v>
      </c>
      <c r="I50" s="53">
        <f t="shared" ca="1" si="84"/>
        <v>35324.800000000003</v>
      </c>
      <c r="J50" s="53">
        <f t="shared" ca="1" si="84"/>
        <v>35360.124799999991</v>
      </c>
      <c r="K50" s="53">
        <f t="shared" ca="1" si="84"/>
        <v>35395.484924799988</v>
      </c>
      <c r="L50" s="53">
        <f t="shared" ca="1" si="84"/>
        <v>35430.880409724778</v>
      </c>
      <c r="M50" s="53">
        <f t="shared" ca="1" si="84"/>
        <v>35466.311290134516</v>
      </c>
      <c r="N50" s="53">
        <f t="shared" ca="1" si="84"/>
        <v>35501.777601424641</v>
      </c>
    </row>
    <row r="51" spans="1:14" x14ac:dyDescent="0.35">
      <c r="A51" s="49" t="s">
        <v>79</v>
      </c>
      <c r="B51" s="52">
        <v>6</v>
      </c>
      <c r="C51" s="53">
        <f ca="1">IF($B51&lt;C$4,OFFSET(C39,0,-$B51)*15%,0)</f>
        <v>0</v>
      </c>
      <c r="D51" s="53">
        <f t="shared" ref="D51:N51" ca="1" si="85">IF($B51&lt;D$4,OFFSET(D39,0,-$B51)*10%,0)</f>
        <v>0</v>
      </c>
      <c r="E51" s="53">
        <f t="shared" ca="1" si="85"/>
        <v>0</v>
      </c>
      <c r="F51" s="53">
        <f t="shared" ca="1" si="85"/>
        <v>0</v>
      </c>
      <c r="G51" s="53">
        <f t="shared" ca="1" si="85"/>
        <v>0</v>
      </c>
      <c r="H51" s="53">
        <f t="shared" ca="1" si="85"/>
        <v>0</v>
      </c>
      <c r="I51" s="53">
        <f t="shared" ca="1" si="85"/>
        <v>60556.800000000003</v>
      </c>
      <c r="J51" s="53">
        <f t="shared" ca="1" si="85"/>
        <v>60617.356799999987</v>
      </c>
      <c r="K51" s="53">
        <f t="shared" ca="1" si="85"/>
        <v>60677.974156799988</v>
      </c>
      <c r="L51" s="53">
        <f t="shared" ca="1" si="85"/>
        <v>60738.652130956762</v>
      </c>
      <c r="M51" s="53">
        <f t="shared" ca="1" si="85"/>
        <v>60799.390783087736</v>
      </c>
      <c r="N51" s="53">
        <f t="shared" ca="1" si="85"/>
        <v>60860.190173870818</v>
      </c>
    </row>
    <row r="52" spans="1:14" x14ac:dyDescent="0.35">
      <c r="C52" s="100"/>
      <c r="D52" s="100"/>
      <c r="E52" s="100"/>
      <c r="F52" s="100"/>
      <c r="G52" s="100"/>
      <c r="H52" s="100"/>
      <c r="I52" s="100"/>
      <c r="J52" s="100"/>
      <c r="K52" s="55"/>
      <c r="L52" s="55"/>
      <c r="M52" s="55"/>
      <c r="N52" s="55"/>
    </row>
    <row r="53" spans="1:14" s="91" customFormat="1" x14ac:dyDescent="0.35">
      <c r="A53" s="90" t="s">
        <v>81</v>
      </c>
      <c r="C53" s="92">
        <f ca="1">C51+C46</f>
        <v>403712</v>
      </c>
      <c r="D53" s="92">
        <f t="shared" ref="D53:N53" ca="1" si="86">D51+D46</f>
        <v>404115.71199999994</v>
      </c>
      <c r="E53" s="92">
        <f t="shared" ca="1" si="86"/>
        <v>404519.82771199988</v>
      </c>
      <c r="F53" s="92">
        <f t="shared" ca="1" si="86"/>
        <v>404924.34753971174</v>
      </c>
      <c r="G53" s="92">
        <f t="shared" ca="1" si="86"/>
        <v>405329.27188725158</v>
      </c>
      <c r="H53" s="92">
        <f t="shared" ca="1" si="86"/>
        <v>405734.60115913872</v>
      </c>
      <c r="I53" s="92">
        <f t="shared" ca="1" si="86"/>
        <v>466697.13576029782</v>
      </c>
      <c r="J53" s="92">
        <f t="shared" ca="1" si="86"/>
        <v>467163.83289605804</v>
      </c>
      <c r="K53" s="92">
        <f t="shared" ca="1" si="86"/>
        <v>467630.99672895414</v>
      </c>
      <c r="L53" s="92">
        <f t="shared" ca="1" si="86"/>
        <v>468098.62772568298</v>
      </c>
      <c r="M53" s="92">
        <f t="shared" ca="1" si="86"/>
        <v>468566.72635340865</v>
      </c>
      <c r="N53" s="92">
        <f t="shared" ca="1" si="86"/>
        <v>469035.29307976214</v>
      </c>
    </row>
    <row r="54" spans="1:14" x14ac:dyDescent="0.35">
      <c r="C54" s="53"/>
      <c r="D54" s="53"/>
      <c r="E54" s="53"/>
      <c r="F54" s="53"/>
      <c r="G54" s="53"/>
      <c r="H54" s="53"/>
      <c r="I54" s="53"/>
      <c r="J54" s="53"/>
      <c r="K54" s="53"/>
      <c r="L54" s="53"/>
      <c r="M54" s="53"/>
      <c r="N54" s="53"/>
    </row>
    <row r="55" spans="1:14" x14ac:dyDescent="0.35">
      <c r="A55" s="49" t="s">
        <v>47</v>
      </c>
      <c r="C55" s="55">
        <v>0.9</v>
      </c>
      <c r="D55" s="55">
        <v>0.9</v>
      </c>
      <c r="E55" s="55">
        <v>0.9</v>
      </c>
      <c r="F55" s="55">
        <v>0.9</v>
      </c>
      <c r="G55" s="55">
        <v>0.9</v>
      </c>
      <c r="H55" s="55">
        <v>0.9</v>
      </c>
      <c r="I55" s="55">
        <v>0.9</v>
      </c>
      <c r="J55" s="55">
        <v>0.9</v>
      </c>
      <c r="K55" s="55">
        <v>0.9</v>
      </c>
      <c r="L55" s="55">
        <v>0.9</v>
      </c>
      <c r="M55" s="55">
        <v>0.9</v>
      </c>
      <c r="N55" s="55">
        <v>0.9</v>
      </c>
    </row>
    <row r="57" spans="1:14" x14ac:dyDescent="0.35">
      <c r="A57" s="49" t="s">
        <v>82</v>
      </c>
      <c r="C57" s="53">
        <f ca="1">C55*C53</f>
        <v>363340.79999999999</v>
      </c>
      <c r="D57" s="53">
        <f t="shared" ref="D57:N57" ca="1" si="87">D55*D53</f>
        <v>363704.14079999994</v>
      </c>
      <c r="E57" s="53">
        <f t="shared" ca="1" si="87"/>
        <v>364067.84494079993</v>
      </c>
      <c r="F57" s="53">
        <f t="shared" ca="1" si="87"/>
        <v>364431.91278574057</v>
      </c>
      <c r="G57" s="53">
        <f t="shared" ca="1" si="87"/>
        <v>364796.34469852643</v>
      </c>
      <c r="H57" s="53">
        <f t="shared" ca="1" si="87"/>
        <v>365161.14104322484</v>
      </c>
      <c r="I57" s="53">
        <f t="shared" ca="1" si="87"/>
        <v>420027.42218426807</v>
      </c>
      <c r="J57" s="53">
        <f t="shared" ca="1" si="87"/>
        <v>420447.44960645225</v>
      </c>
      <c r="K57" s="53">
        <f t="shared" ca="1" si="87"/>
        <v>420867.89705605875</v>
      </c>
      <c r="L57" s="53">
        <f t="shared" ca="1" si="87"/>
        <v>421288.76495311467</v>
      </c>
      <c r="M57" s="53">
        <f t="shared" ca="1" si="87"/>
        <v>421710.05371806782</v>
      </c>
      <c r="N57" s="53">
        <f t="shared" ca="1" si="87"/>
        <v>422131.76377178595</v>
      </c>
    </row>
    <row r="58" spans="1:14" x14ac:dyDescent="0.35">
      <c r="B58" s="52"/>
    </row>
    <row r="59" spans="1:14" x14ac:dyDescent="0.35">
      <c r="A59" s="49" t="s">
        <v>83</v>
      </c>
      <c r="B59" s="52"/>
    </row>
    <row r="60" spans="1:14" x14ac:dyDescent="0.35">
      <c r="A60" s="70" t="s">
        <v>84</v>
      </c>
      <c r="B60" s="52"/>
      <c r="C60" s="54">
        <v>0.6</v>
      </c>
      <c r="D60" s="54">
        <v>0.6</v>
      </c>
      <c r="E60" s="54">
        <v>0.6</v>
      </c>
      <c r="F60" s="54">
        <v>0.6</v>
      </c>
      <c r="G60" s="54">
        <v>0.6</v>
      </c>
      <c r="H60" s="54">
        <v>0.6</v>
      </c>
      <c r="I60" s="54">
        <v>0.6</v>
      </c>
      <c r="J60" s="54">
        <v>0.6</v>
      </c>
      <c r="K60" s="54">
        <v>0.6</v>
      </c>
      <c r="L60" s="54">
        <v>0.6</v>
      </c>
      <c r="M60" s="54">
        <v>0.6</v>
      </c>
      <c r="N60" s="54">
        <v>0.6</v>
      </c>
    </row>
    <row r="61" spans="1:14" x14ac:dyDescent="0.35">
      <c r="A61" s="70" t="s">
        <v>85</v>
      </c>
      <c r="C61" s="54">
        <v>0.3</v>
      </c>
      <c r="D61" s="54">
        <v>0.3</v>
      </c>
      <c r="E61" s="54">
        <v>0.3</v>
      </c>
      <c r="F61" s="54">
        <v>0.3</v>
      </c>
      <c r="G61" s="54">
        <v>0.3</v>
      </c>
      <c r="H61" s="54">
        <v>0.3</v>
      </c>
      <c r="I61" s="54">
        <v>0.3</v>
      </c>
      <c r="J61" s="54">
        <v>0.3</v>
      </c>
      <c r="K61" s="54">
        <v>0.3</v>
      </c>
      <c r="L61" s="54">
        <v>0.3</v>
      </c>
      <c r="M61" s="54">
        <v>0.3</v>
      </c>
      <c r="N61" s="54">
        <v>0.3</v>
      </c>
    </row>
    <row r="62" spans="1:14" x14ac:dyDescent="0.35">
      <c r="A62" s="70" t="s">
        <v>86</v>
      </c>
      <c r="C62" s="54">
        <v>0.1</v>
      </c>
      <c r="D62" s="54">
        <v>0.1</v>
      </c>
      <c r="E62" s="54">
        <v>0.1</v>
      </c>
      <c r="F62" s="54">
        <v>0.1</v>
      </c>
      <c r="G62" s="54">
        <v>0.1</v>
      </c>
      <c r="H62" s="54">
        <v>0.1</v>
      </c>
      <c r="I62" s="54">
        <v>0.1</v>
      </c>
      <c r="J62" s="54">
        <v>0.1</v>
      </c>
      <c r="K62" s="54">
        <v>0.1</v>
      </c>
      <c r="L62" s="54">
        <v>0.1</v>
      </c>
      <c r="M62" s="54">
        <v>0.1</v>
      </c>
      <c r="N62" s="54">
        <v>0.1</v>
      </c>
    </row>
    <row r="65" spans="1:14" x14ac:dyDescent="0.35">
      <c r="A65" s="49" t="s">
        <v>87</v>
      </c>
    </row>
    <row r="66" spans="1:14" x14ac:dyDescent="0.35">
      <c r="A66" s="49" t="s">
        <v>84</v>
      </c>
      <c r="C66" s="55">
        <f>VLOOKUP($A$66,$A$60:$N$62,3,FALSE)</f>
        <v>0.6</v>
      </c>
      <c r="D66" s="55">
        <f t="shared" ref="D66:N66" si="88">VLOOKUP($A$66,$A$60:$N$62,3,FALSE)</f>
        <v>0.6</v>
      </c>
      <c r="E66" s="55">
        <f t="shared" si="88"/>
        <v>0.6</v>
      </c>
      <c r="F66" s="55">
        <f t="shared" si="88"/>
        <v>0.6</v>
      </c>
      <c r="G66" s="55">
        <f t="shared" si="88"/>
        <v>0.6</v>
      </c>
      <c r="H66" s="55">
        <f t="shared" si="88"/>
        <v>0.6</v>
      </c>
      <c r="I66" s="55">
        <f t="shared" si="88"/>
        <v>0.6</v>
      </c>
      <c r="J66" s="55">
        <f t="shared" si="88"/>
        <v>0.6</v>
      </c>
      <c r="K66" s="55">
        <f t="shared" si="88"/>
        <v>0.6</v>
      </c>
      <c r="L66" s="55">
        <f t="shared" si="88"/>
        <v>0.6</v>
      </c>
      <c r="M66" s="55">
        <f t="shared" si="88"/>
        <v>0.6</v>
      </c>
      <c r="N66" s="55">
        <f t="shared" si="88"/>
        <v>0.6</v>
      </c>
    </row>
    <row r="68" spans="1:14" x14ac:dyDescent="0.35">
      <c r="A68" s="49" t="str">
        <f>"Total"&amp;A66&amp;"Patients"</f>
        <v>TotalFirst Line TherapyPatients</v>
      </c>
      <c r="C68" s="53">
        <f ca="1">C66*C57</f>
        <v>218004.47999999998</v>
      </c>
      <c r="D68" s="53">
        <f t="shared" ref="D68:N68" ca="1" si="89">D66*D57</f>
        <v>218222.48447999996</v>
      </c>
      <c r="E68" s="53">
        <f t="shared" ca="1" si="89"/>
        <v>218440.70696447996</v>
      </c>
      <c r="F68" s="53">
        <f t="shared" ca="1" si="89"/>
        <v>218659.14767144434</v>
      </c>
      <c r="G68" s="53">
        <f t="shared" ca="1" si="89"/>
        <v>218877.80681911585</v>
      </c>
      <c r="H68" s="53">
        <f t="shared" ca="1" si="89"/>
        <v>219096.6846259349</v>
      </c>
      <c r="I68" s="53">
        <f t="shared" ca="1" si="89"/>
        <v>252016.45331056084</v>
      </c>
      <c r="J68" s="53">
        <f t="shared" ca="1" si="89"/>
        <v>252268.46976387134</v>
      </c>
      <c r="K68" s="53">
        <f t="shared" ca="1" si="89"/>
        <v>252520.73823363523</v>
      </c>
      <c r="L68" s="53">
        <f t="shared" ca="1" si="89"/>
        <v>252773.25897186878</v>
      </c>
      <c r="M68" s="53">
        <f t="shared" ca="1" si="89"/>
        <v>253026.03223084068</v>
      </c>
      <c r="N68" s="53">
        <f t="shared" ca="1" si="89"/>
        <v>253279.05826307155</v>
      </c>
    </row>
    <row r="70" spans="1:14" x14ac:dyDescent="0.35">
      <c r="A70" s="49" t="s">
        <v>88</v>
      </c>
      <c r="B70" s="54">
        <v>0.3</v>
      </c>
    </row>
    <row r="72" spans="1:14" x14ac:dyDescent="0.35">
      <c r="A72" s="49" t="s">
        <v>89</v>
      </c>
      <c r="C72" s="53">
        <f ca="1">$B$70*C68</f>
        <v>65401.34399999999</v>
      </c>
      <c r="D72" s="53">
        <f t="shared" ref="D72:N72" ca="1" si="90">$B$70*D68</f>
        <v>65466.745343999981</v>
      </c>
      <c r="E72" s="53">
        <f t="shared" ca="1" si="90"/>
        <v>65532.212089343986</v>
      </c>
      <c r="F72" s="53">
        <f t="shared" ca="1" si="90"/>
        <v>65597.744301433297</v>
      </c>
      <c r="G72" s="53">
        <f t="shared" ca="1" si="90"/>
        <v>65663.342045734753</v>
      </c>
      <c r="H72" s="53">
        <f t="shared" ca="1" si="90"/>
        <v>65729.00538778046</v>
      </c>
      <c r="I72" s="53">
        <f t="shared" ca="1" si="90"/>
        <v>75604.935993168256</v>
      </c>
      <c r="J72" s="53">
        <f t="shared" ca="1" si="90"/>
        <v>75680.540929161405</v>
      </c>
      <c r="K72" s="53">
        <f t="shared" ca="1" si="90"/>
        <v>75756.221470090561</v>
      </c>
      <c r="L72" s="53">
        <f t="shared" ca="1" si="90"/>
        <v>75831.977691560634</v>
      </c>
      <c r="M72" s="53">
        <f t="shared" ca="1" si="90"/>
        <v>75907.809669252194</v>
      </c>
      <c r="N72" s="53">
        <f t="shared" ca="1" si="90"/>
        <v>75983.717478921462</v>
      </c>
    </row>
    <row r="75" spans="1:14" x14ac:dyDescent="0.35">
      <c r="A75" s="49" t="s">
        <v>90</v>
      </c>
      <c r="B75" s="51">
        <v>2020</v>
      </c>
      <c r="C75" s="51">
        <v>2021</v>
      </c>
      <c r="D75" s="51">
        <v>2022</v>
      </c>
      <c r="E75" s="51">
        <v>2023</v>
      </c>
      <c r="F75" s="51">
        <v>2024</v>
      </c>
      <c r="G75" s="51">
        <v>2025</v>
      </c>
      <c r="H75" s="51">
        <v>2026</v>
      </c>
      <c r="I75" s="51">
        <v>2027</v>
      </c>
      <c r="J75" s="51">
        <v>2028</v>
      </c>
      <c r="K75" s="51">
        <v>2029</v>
      </c>
      <c r="L75" s="51">
        <v>2030</v>
      </c>
    </row>
    <row r="76" spans="1:14" x14ac:dyDescent="0.35">
      <c r="A76" s="49" t="s">
        <v>89</v>
      </c>
      <c r="B76" s="93">
        <v>70000</v>
      </c>
      <c r="E76" s="53">
        <f ca="1">N72</f>
        <v>75983.717478921462</v>
      </c>
    </row>
    <row r="77" spans="1:14" x14ac:dyDescent="0.35">
      <c r="E77" s="55"/>
    </row>
    <row r="78" spans="1:14" x14ac:dyDescent="0.35">
      <c r="A78" s="49" t="s">
        <v>91</v>
      </c>
    </row>
    <row r="79" spans="1:14" s="94" customFormat="1" x14ac:dyDescent="0.35">
      <c r="A79" s="70" t="s">
        <v>92</v>
      </c>
      <c r="B79" s="94">
        <f>B76*100000</f>
        <v>7000000000</v>
      </c>
      <c r="E79" s="95">
        <f ca="1">E76*100000</f>
        <v>7598371747.8921461</v>
      </c>
      <c r="F79" s="96">
        <f ca="1">E79*(1+E80)</f>
        <v>7808987061.707509</v>
      </c>
      <c r="G79" s="96">
        <f t="shared" ref="G79:N79" ca="1" si="91">F79*(1+F80)</f>
        <v>7808987061.707509</v>
      </c>
      <c r="H79" s="96">
        <f t="shared" ca="1" si="91"/>
        <v>7808987061.707509</v>
      </c>
      <c r="I79" s="96">
        <f t="shared" ca="1" si="91"/>
        <v>7808987061.707509</v>
      </c>
      <c r="J79" s="96">
        <f t="shared" ca="1" si="91"/>
        <v>7808987061.707509</v>
      </c>
      <c r="K79" s="96">
        <f t="shared" ca="1" si="91"/>
        <v>7808987061.707509</v>
      </c>
      <c r="L79" s="96">
        <f t="shared" ca="1" si="91"/>
        <v>7808987061.707509</v>
      </c>
      <c r="M79" s="96">
        <f t="shared" ca="1" si="91"/>
        <v>7808987061.707509</v>
      </c>
      <c r="N79" s="96">
        <f t="shared" ca="1" si="91"/>
        <v>7808987061.707509</v>
      </c>
    </row>
    <row r="80" spans="1:14" x14ac:dyDescent="0.35">
      <c r="E80" s="55">
        <f ca="1">(E79/B79)^(1/3)-1</f>
        <v>2.7718479801121854E-2</v>
      </c>
    </row>
    <row r="81" spans="5:5" x14ac:dyDescent="0.35">
      <c r="E81" s="55"/>
    </row>
  </sheetData>
  <phoneticPr fontId="2" type="noConversion"/>
  <dataValidations count="4">
    <dataValidation type="list" allowBlank="1" showInputMessage="1" showErrorMessage="1" sqref="A22 A23:B23" xr:uid="{121992C4-4AFE-4298-9464-D633A57F49A5}">
      <formula1>$A$17:$A$19</formula1>
    </dataValidation>
    <dataValidation type="list" allowBlank="1" showInputMessage="1" showErrorMessage="1" sqref="A52" xr:uid="{36FC577F-56B9-43C3-AD4C-7389D2B5A64E}">
      <formula1>$A$46:$A$49</formula1>
    </dataValidation>
    <dataValidation type="list" allowBlank="1" showInputMessage="1" showErrorMessage="1" sqref="A44" xr:uid="{285EC875-C29B-4C9B-8215-E2325D24520B}">
      <formula1>$A$27:$A$30</formula1>
    </dataValidation>
    <dataValidation type="list" allowBlank="1" showInputMessage="1" showErrorMessage="1" sqref="A66" xr:uid="{9EFD681D-468D-4DE1-A902-9499B78BDF56}">
      <formula1>$A$60:$A$62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94"/>
  <sheetViews>
    <sheetView zoomScaleNormal="100" workbookViewId="0">
      <selection activeCell="J60" sqref="J60:J63"/>
    </sheetView>
  </sheetViews>
  <sheetFormatPr defaultRowHeight="14.4" x14ac:dyDescent="0.3"/>
  <cols>
    <col min="1" max="1" width="11.44140625" customWidth="1"/>
    <col min="2" max="2" width="15.5546875" customWidth="1"/>
    <col min="3" max="3" width="12.44140625" customWidth="1"/>
    <col min="4" max="4" width="10.44140625" customWidth="1"/>
    <col min="6" max="6" width="29.77734375" bestFit="1" customWidth="1"/>
    <col min="8" max="8" width="11.77734375" customWidth="1"/>
  </cols>
  <sheetData>
    <row r="94" spans="7:7" x14ac:dyDescent="0.3">
      <c r="G94" s="4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EAB2-5DBD-45C4-B7E1-9CE263113896}">
  <dimension ref="C1:F87"/>
  <sheetViews>
    <sheetView workbookViewId="0">
      <selection activeCell="E2" sqref="E2"/>
    </sheetView>
  </sheetViews>
  <sheetFormatPr defaultRowHeight="14.4" x14ac:dyDescent="0.3"/>
  <cols>
    <col min="3" max="3" width="27.109375" customWidth="1"/>
    <col min="4" max="4" width="18.44140625" customWidth="1"/>
    <col min="5" max="5" width="31" customWidth="1"/>
    <col min="6" max="6" width="23.77734375" customWidth="1"/>
  </cols>
  <sheetData>
    <row r="1" spans="3:6" ht="15" thickBot="1" x14ac:dyDescent="0.35"/>
    <row r="2" spans="3:6" ht="15" thickBot="1" x14ac:dyDescent="0.35">
      <c r="C2" s="35" t="s">
        <v>42</v>
      </c>
      <c r="D2" s="36" t="s">
        <v>43</v>
      </c>
      <c r="E2" s="36" t="s">
        <v>44</v>
      </c>
      <c r="F2" s="37" t="s">
        <v>45</v>
      </c>
    </row>
    <row r="3" spans="3:6" x14ac:dyDescent="0.3">
      <c r="C3" s="32" t="s">
        <v>64</v>
      </c>
      <c r="D3" s="65">
        <v>332000000</v>
      </c>
      <c r="E3" s="33"/>
      <c r="F3" s="34"/>
    </row>
    <row r="4" spans="3:6" x14ac:dyDescent="0.3">
      <c r="C4" s="32" t="s">
        <v>46</v>
      </c>
      <c r="D4" s="24"/>
      <c r="E4" s="24"/>
      <c r="F4" s="26"/>
    </row>
    <row r="5" spans="3:6" x14ac:dyDescent="0.3">
      <c r="C5" s="25" t="s">
        <v>18</v>
      </c>
      <c r="D5" s="24"/>
      <c r="E5" s="24"/>
      <c r="F5" s="26"/>
    </row>
    <row r="6" spans="3:6" x14ac:dyDescent="0.3">
      <c r="C6" s="25" t="s">
        <v>47</v>
      </c>
      <c r="D6" s="24"/>
      <c r="E6" s="24"/>
      <c r="F6" s="26"/>
    </row>
    <row r="7" spans="3:6" x14ac:dyDescent="0.3">
      <c r="C7" s="25" t="s">
        <v>72</v>
      </c>
      <c r="D7" s="73">
        <v>0.8</v>
      </c>
      <c r="E7" s="24"/>
      <c r="F7" s="26"/>
    </row>
    <row r="8" spans="3:6" x14ac:dyDescent="0.3">
      <c r="C8" s="25"/>
      <c r="D8" s="24"/>
      <c r="E8" s="24"/>
      <c r="F8" s="26"/>
    </row>
    <row r="9" spans="3:6" x14ac:dyDescent="0.3">
      <c r="C9" s="25"/>
      <c r="D9" s="24"/>
      <c r="E9" s="24"/>
      <c r="F9" s="26"/>
    </row>
    <row r="10" spans="3:6" x14ac:dyDescent="0.3">
      <c r="C10" s="25"/>
      <c r="D10" s="24"/>
      <c r="E10" s="24"/>
      <c r="F10" s="26"/>
    </row>
    <row r="11" spans="3:6" x14ac:dyDescent="0.3">
      <c r="C11" s="25"/>
      <c r="D11" s="24"/>
      <c r="E11" s="24"/>
      <c r="F11" s="26"/>
    </row>
    <row r="12" spans="3:6" x14ac:dyDescent="0.3">
      <c r="C12" s="25"/>
      <c r="D12" s="24"/>
      <c r="E12" s="24"/>
      <c r="F12" s="26"/>
    </row>
    <row r="13" spans="3:6" x14ac:dyDescent="0.3">
      <c r="C13" s="25"/>
      <c r="D13" s="24"/>
      <c r="E13" s="24"/>
      <c r="F13" s="26"/>
    </row>
    <row r="14" spans="3:6" x14ac:dyDescent="0.3">
      <c r="C14" s="25"/>
      <c r="D14" s="24"/>
      <c r="E14" s="24"/>
      <c r="F14" s="26"/>
    </row>
    <row r="15" spans="3:6" x14ac:dyDescent="0.3">
      <c r="C15" s="25"/>
      <c r="D15" s="24"/>
      <c r="E15" s="24"/>
      <c r="F15" s="26"/>
    </row>
    <row r="16" spans="3:6" x14ac:dyDescent="0.3">
      <c r="C16" s="25"/>
      <c r="D16" s="24"/>
      <c r="E16" s="24"/>
      <c r="F16" s="26"/>
    </row>
    <row r="17" spans="3:6" x14ac:dyDescent="0.3">
      <c r="C17" s="25"/>
      <c r="D17" s="24"/>
      <c r="E17" s="24"/>
      <c r="F17" s="26"/>
    </row>
    <row r="18" spans="3:6" x14ac:dyDescent="0.3">
      <c r="C18" s="25"/>
      <c r="D18" s="24"/>
      <c r="E18" s="24"/>
      <c r="F18" s="26"/>
    </row>
    <row r="19" spans="3:6" x14ac:dyDescent="0.3">
      <c r="C19" s="25"/>
      <c r="D19" s="24"/>
      <c r="E19" s="24"/>
      <c r="F19" s="26"/>
    </row>
    <row r="20" spans="3:6" x14ac:dyDescent="0.3">
      <c r="C20" s="25"/>
      <c r="D20" s="24"/>
      <c r="E20" s="24"/>
      <c r="F20" s="26"/>
    </row>
    <row r="21" spans="3:6" x14ac:dyDescent="0.3">
      <c r="C21" s="25"/>
      <c r="D21" s="24"/>
      <c r="E21" s="24"/>
      <c r="F21" s="26"/>
    </row>
    <row r="22" spans="3:6" x14ac:dyDescent="0.3">
      <c r="C22" s="25"/>
      <c r="D22" s="24"/>
      <c r="E22" s="24"/>
      <c r="F22" s="26"/>
    </row>
    <row r="23" spans="3:6" x14ac:dyDescent="0.3">
      <c r="C23" s="25"/>
      <c r="D23" s="24"/>
      <c r="E23" s="24"/>
      <c r="F23" s="26"/>
    </row>
    <row r="24" spans="3:6" x14ac:dyDescent="0.3">
      <c r="C24" s="25"/>
      <c r="D24" s="24"/>
      <c r="E24" s="24"/>
      <c r="F24" s="26"/>
    </row>
    <row r="25" spans="3:6" x14ac:dyDescent="0.3">
      <c r="C25" s="25"/>
      <c r="D25" s="24"/>
      <c r="E25" s="24"/>
      <c r="F25" s="26"/>
    </row>
    <row r="26" spans="3:6" x14ac:dyDescent="0.3">
      <c r="C26" s="25"/>
      <c r="D26" s="24"/>
      <c r="E26" s="24"/>
      <c r="F26" s="26"/>
    </row>
    <row r="27" spans="3:6" x14ac:dyDescent="0.3">
      <c r="C27" s="25"/>
      <c r="D27" s="24"/>
      <c r="E27" s="24"/>
      <c r="F27" s="26"/>
    </row>
    <row r="28" spans="3:6" x14ac:dyDescent="0.3">
      <c r="C28" s="25"/>
      <c r="D28" s="24"/>
      <c r="E28" s="24"/>
      <c r="F28" s="26"/>
    </row>
    <row r="29" spans="3:6" x14ac:dyDescent="0.3">
      <c r="C29" s="25"/>
      <c r="D29" s="24"/>
      <c r="E29" s="24"/>
      <c r="F29" s="26"/>
    </row>
    <row r="30" spans="3:6" x14ac:dyDescent="0.3">
      <c r="C30" s="25"/>
      <c r="D30" s="24"/>
      <c r="E30" s="24"/>
      <c r="F30" s="26"/>
    </row>
    <row r="31" spans="3:6" x14ac:dyDescent="0.3">
      <c r="C31" s="25"/>
      <c r="D31" s="24"/>
      <c r="E31" s="24"/>
      <c r="F31" s="26"/>
    </row>
    <row r="32" spans="3:6" x14ac:dyDescent="0.3">
      <c r="C32" s="25"/>
      <c r="D32" s="24"/>
      <c r="E32" s="24"/>
      <c r="F32" s="26"/>
    </row>
    <row r="33" spans="3:6" x14ac:dyDescent="0.3">
      <c r="C33" s="25"/>
      <c r="D33" s="24"/>
      <c r="E33" s="24"/>
      <c r="F33" s="26"/>
    </row>
    <row r="34" spans="3:6" x14ac:dyDescent="0.3">
      <c r="C34" s="25"/>
      <c r="D34" s="24"/>
      <c r="E34" s="24"/>
      <c r="F34" s="26"/>
    </row>
    <row r="35" spans="3:6" x14ac:dyDescent="0.3">
      <c r="C35" s="25"/>
      <c r="D35" s="24"/>
      <c r="E35" s="24"/>
      <c r="F35" s="26"/>
    </row>
    <row r="36" spans="3:6" x14ac:dyDescent="0.3">
      <c r="C36" s="25"/>
      <c r="D36" s="24"/>
      <c r="E36" s="24"/>
      <c r="F36" s="26"/>
    </row>
    <row r="37" spans="3:6" x14ac:dyDescent="0.3">
      <c r="C37" s="25"/>
      <c r="D37" s="24"/>
      <c r="E37" s="24"/>
      <c r="F37" s="26"/>
    </row>
    <row r="38" spans="3:6" x14ac:dyDescent="0.3">
      <c r="C38" s="27"/>
      <c r="F38" s="28"/>
    </row>
    <row r="39" spans="3:6" x14ac:dyDescent="0.3">
      <c r="C39" s="27"/>
      <c r="F39" s="28"/>
    </row>
    <row r="40" spans="3:6" x14ac:dyDescent="0.3">
      <c r="C40" s="27"/>
      <c r="F40" s="28"/>
    </row>
    <row r="41" spans="3:6" x14ac:dyDescent="0.3">
      <c r="C41" s="27"/>
      <c r="F41" s="28"/>
    </row>
    <row r="42" spans="3:6" x14ac:dyDescent="0.3">
      <c r="C42" s="27"/>
      <c r="F42" s="28"/>
    </row>
    <row r="43" spans="3:6" x14ac:dyDescent="0.3">
      <c r="C43" s="27"/>
      <c r="F43" s="28"/>
    </row>
    <row r="44" spans="3:6" x14ac:dyDescent="0.3">
      <c r="C44" s="27"/>
      <c r="F44" s="28"/>
    </row>
    <row r="45" spans="3:6" x14ac:dyDescent="0.3">
      <c r="C45" s="27"/>
      <c r="F45" s="28"/>
    </row>
    <row r="46" spans="3:6" x14ac:dyDescent="0.3">
      <c r="C46" s="27"/>
      <c r="F46" s="28"/>
    </row>
    <row r="47" spans="3:6" x14ac:dyDescent="0.3">
      <c r="C47" s="27"/>
      <c r="F47" s="28"/>
    </row>
    <row r="48" spans="3:6" x14ac:dyDescent="0.3">
      <c r="C48" s="27"/>
      <c r="F48" s="28"/>
    </row>
    <row r="49" spans="3:6" x14ac:dyDescent="0.3">
      <c r="C49" s="27"/>
      <c r="F49" s="28"/>
    </row>
    <row r="50" spans="3:6" x14ac:dyDescent="0.3">
      <c r="C50" s="27"/>
      <c r="F50" s="28"/>
    </row>
    <row r="51" spans="3:6" x14ac:dyDescent="0.3">
      <c r="C51" s="27"/>
      <c r="F51" s="28"/>
    </row>
    <row r="52" spans="3:6" x14ac:dyDescent="0.3">
      <c r="C52" s="27"/>
      <c r="F52" s="28"/>
    </row>
    <row r="53" spans="3:6" x14ac:dyDescent="0.3">
      <c r="C53" s="27"/>
      <c r="F53" s="28"/>
    </row>
    <row r="54" spans="3:6" x14ac:dyDescent="0.3">
      <c r="C54" s="27"/>
      <c r="F54" s="28"/>
    </row>
    <row r="55" spans="3:6" x14ac:dyDescent="0.3">
      <c r="C55" s="27"/>
      <c r="F55" s="28"/>
    </row>
    <row r="56" spans="3:6" x14ac:dyDescent="0.3">
      <c r="C56" s="27"/>
      <c r="F56" s="28"/>
    </row>
    <row r="57" spans="3:6" x14ac:dyDescent="0.3">
      <c r="C57" s="27"/>
      <c r="F57" s="28"/>
    </row>
    <row r="58" spans="3:6" x14ac:dyDescent="0.3">
      <c r="C58" s="27"/>
      <c r="F58" s="28"/>
    </row>
    <row r="59" spans="3:6" x14ac:dyDescent="0.3">
      <c r="C59" s="27"/>
      <c r="F59" s="28"/>
    </row>
    <row r="60" spans="3:6" x14ac:dyDescent="0.3">
      <c r="C60" s="27"/>
      <c r="F60" s="28"/>
    </row>
    <row r="61" spans="3:6" x14ac:dyDescent="0.3">
      <c r="C61" s="27"/>
      <c r="F61" s="28"/>
    </row>
    <row r="62" spans="3:6" x14ac:dyDescent="0.3">
      <c r="C62" s="27"/>
      <c r="F62" s="28"/>
    </row>
    <row r="63" spans="3:6" x14ac:dyDescent="0.3">
      <c r="C63" s="27"/>
      <c r="F63" s="28"/>
    </row>
    <row r="64" spans="3:6" x14ac:dyDescent="0.3">
      <c r="C64" s="27"/>
      <c r="F64" s="28"/>
    </row>
    <row r="65" spans="3:6" x14ac:dyDescent="0.3">
      <c r="C65" s="27"/>
      <c r="F65" s="28"/>
    </row>
    <row r="66" spans="3:6" x14ac:dyDescent="0.3">
      <c r="C66" s="27"/>
      <c r="F66" s="28"/>
    </row>
    <row r="67" spans="3:6" x14ac:dyDescent="0.3">
      <c r="C67" s="27"/>
      <c r="F67" s="28"/>
    </row>
    <row r="68" spans="3:6" x14ac:dyDescent="0.3">
      <c r="C68" s="27"/>
      <c r="F68" s="28"/>
    </row>
    <row r="69" spans="3:6" x14ac:dyDescent="0.3">
      <c r="C69" s="27"/>
      <c r="F69" s="28"/>
    </row>
    <row r="70" spans="3:6" x14ac:dyDescent="0.3">
      <c r="C70" s="27"/>
      <c r="F70" s="28"/>
    </row>
    <row r="71" spans="3:6" x14ac:dyDescent="0.3">
      <c r="C71" s="27"/>
      <c r="F71" s="28"/>
    </row>
    <row r="72" spans="3:6" x14ac:dyDescent="0.3">
      <c r="C72" s="27"/>
      <c r="F72" s="28"/>
    </row>
    <row r="73" spans="3:6" x14ac:dyDescent="0.3">
      <c r="C73" s="27"/>
      <c r="F73" s="28"/>
    </row>
    <row r="74" spans="3:6" x14ac:dyDescent="0.3">
      <c r="C74" s="27"/>
      <c r="F74" s="28"/>
    </row>
    <row r="75" spans="3:6" x14ac:dyDescent="0.3">
      <c r="C75" s="27"/>
      <c r="F75" s="28"/>
    </row>
    <row r="76" spans="3:6" x14ac:dyDescent="0.3">
      <c r="C76" s="27"/>
      <c r="F76" s="28"/>
    </row>
    <row r="77" spans="3:6" x14ac:dyDescent="0.3">
      <c r="C77" s="27"/>
      <c r="F77" s="28"/>
    </row>
    <row r="78" spans="3:6" x14ac:dyDescent="0.3">
      <c r="C78" s="27"/>
      <c r="F78" s="28"/>
    </row>
    <row r="79" spans="3:6" x14ac:dyDescent="0.3">
      <c r="C79" s="27"/>
      <c r="F79" s="28"/>
    </row>
    <row r="80" spans="3:6" x14ac:dyDescent="0.3">
      <c r="C80" s="27"/>
      <c r="F80" s="28"/>
    </row>
    <row r="81" spans="3:6" x14ac:dyDescent="0.3">
      <c r="C81" s="27"/>
      <c r="F81" s="28"/>
    </row>
    <row r="82" spans="3:6" x14ac:dyDescent="0.3">
      <c r="C82" s="27"/>
      <c r="F82" s="28"/>
    </row>
    <row r="83" spans="3:6" x14ac:dyDescent="0.3">
      <c r="C83" s="27"/>
      <c r="F83" s="28"/>
    </row>
    <row r="84" spans="3:6" x14ac:dyDescent="0.3">
      <c r="C84" s="27"/>
      <c r="F84" s="28"/>
    </row>
    <row r="85" spans="3:6" x14ac:dyDescent="0.3">
      <c r="C85" s="27"/>
      <c r="F85" s="28"/>
    </row>
    <row r="86" spans="3:6" x14ac:dyDescent="0.3">
      <c r="C86" s="27"/>
      <c r="F86" s="28"/>
    </row>
    <row r="87" spans="3:6" ht="15" thickBot="1" x14ac:dyDescent="0.35">
      <c r="C87" s="29"/>
      <c r="D87" s="30"/>
      <c r="E87" s="30"/>
      <c r="F87" s="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0FB4-128E-4D82-B553-1AA9451994A8}">
  <dimension ref="A1:CH79"/>
  <sheetViews>
    <sheetView zoomScale="83" workbookViewId="0">
      <selection activeCell="A49" sqref="A49"/>
    </sheetView>
  </sheetViews>
  <sheetFormatPr defaultColWidth="8.77734375" defaultRowHeight="15.6" x14ac:dyDescent="0.3"/>
  <cols>
    <col min="1" max="1" width="60.5546875" style="97" customWidth="1"/>
    <col min="2" max="2" width="15.77734375" style="97" bestFit="1" customWidth="1"/>
    <col min="3" max="14" width="19.109375" style="97" customWidth="1"/>
    <col min="15" max="16384" width="8.77734375" style="97"/>
  </cols>
  <sheetData>
    <row r="1" spans="1:86" s="17" customFormat="1" ht="17.55" customHeight="1" x14ac:dyDescent="0.3">
      <c r="A1" s="17" t="s">
        <v>98</v>
      </c>
    </row>
    <row r="2" spans="1:86" ht="16.2" x14ac:dyDescent="0.35">
      <c r="A2" s="105" t="s">
        <v>41</v>
      </c>
    </row>
    <row r="3" spans="1:86" ht="16.2" x14ac:dyDescent="0.35">
      <c r="A3" s="106">
        <v>1</v>
      </c>
      <c r="B3" s="101">
        <f>A3+1</f>
        <v>2</v>
      </c>
      <c r="C3" s="101">
        <f t="shared" ref="C3:AY3" si="0">B3+1</f>
        <v>3</v>
      </c>
      <c r="D3" s="101">
        <f t="shared" si="0"/>
        <v>4</v>
      </c>
      <c r="E3" s="101">
        <f t="shared" si="0"/>
        <v>5</v>
      </c>
      <c r="F3" s="101">
        <f t="shared" si="0"/>
        <v>6</v>
      </c>
      <c r="G3" s="101">
        <f t="shared" si="0"/>
        <v>7</v>
      </c>
      <c r="H3" s="101">
        <f t="shared" si="0"/>
        <v>8</v>
      </c>
      <c r="I3" s="101">
        <f t="shared" si="0"/>
        <v>9</v>
      </c>
      <c r="J3" s="101">
        <f t="shared" si="0"/>
        <v>10</v>
      </c>
      <c r="K3" s="101">
        <f t="shared" si="0"/>
        <v>11</v>
      </c>
      <c r="L3" s="101">
        <f t="shared" si="0"/>
        <v>12</v>
      </c>
      <c r="M3" s="101">
        <f t="shared" si="0"/>
        <v>13</v>
      </c>
      <c r="N3" s="101">
        <f t="shared" si="0"/>
        <v>14</v>
      </c>
      <c r="O3" s="101">
        <f t="shared" si="0"/>
        <v>15</v>
      </c>
      <c r="P3" s="101">
        <f t="shared" si="0"/>
        <v>16</v>
      </c>
      <c r="Q3" s="101">
        <f t="shared" si="0"/>
        <v>17</v>
      </c>
      <c r="R3" s="101">
        <f t="shared" si="0"/>
        <v>18</v>
      </c>
      <c r="S3" s="101">
        <f t="shared" si="0"/>
        <v>19</v>
      </c>
      <c r="T3" s="101">
        <f t="shared" si="0"/>
        <v>20</v>
      </c>
      <c r="U3" s="101">
        <f t="shared" si="0"/>
        <v>21</v>
      </c>
      <c r="V3" s="101">
        <f t="shared" si="0"/>
        <v>22</v>
      </c>
      <c r="W3" s="101">
        <f t="shared" si="0"/>
        <v>23</v>
      </c>
      <c r="X3" s="101">
        <f t="shared" si="0"/>
        <v>24</v>
      </c>
      <c r="Y3" s="101">
        <f t="shared" si="0"/>
        <v>25</v>
      </c>
      <c r="Z3" s="101">
        <f t="shared" si="0"/>
        <v>26</v>
      </c>
      <c r="AA3" s="101">
        <f t="shared" si="0"/>
        <v>27</v>
      </c>
      <c r="AB3" s="101">
        <f t="shared" si="0"/>
        <v>28</v>
      </c>
      <c r="AC3" s="101">
        <f t="shared" si="0"/>
        <v>29</v>
      </c>
      <c r="AD3" s="101">
        <f t="shared" si="0"/>
        <v>30</v>
      </c>
      <c r="AE3" s="101">
        <f t="shared" si="0"/>
        <v>31</v>
      </c>
      <c r="AF3" s="101">
        <f t="shared" si="0"/>
        <v>32</v>
      </c>
      <c r="AG3" s="101">
        <f t="shared" si="0"/>
        <v>33</v>
      </c>
      <c r="AH3" s="101">
        <f t="shared" si="0"/>
        <v>34</v>
      </c>
      <c r="AI3" s="101">
        <f t="shared" si="0"/>
        <v>35</v>
      </c>
      <c r="AJ3" s="101">
        <f t="shared" si="0"/>
        <v>36</v>
      </c>
      <c r="AK3" s="101">
        <f t="shared" si="0"/>
        <v>37</v>
      </c>
      <c r="AL3" s="101">
        <f t="shared" si="0"/>
        <v>38</v>
      </c>
      <c r="AM3" s="101">
        <f t="shared" si="0"/>
        <v>39</v>
      </c>
      <c r="AN3" s="101">
        <f t="shared" si="0"/>
        <v>40</v>
      </c>
      <c r="AO3" s="101">
        <f t="shared" si="0"/>
        <v>41</v>
      </c>
      <c r="AP3" s="101">
        <f t="shared" si="0"/>
        <v>42</v>
      </c>
      <c r="AQ3" s="101">
        <f t="shared" si="0"/>
        <v>43</v>
      </c>
      <c r="AR3" s="101">
        <f t="shared" si="0"/>
        <v>44</v>
      </c>
      <c r="AS3" s="101">
        <f t="shared" si="0"/>
        <v>45</v>
      </c>
      <c r="AT3" s="101">
        <f t="shared" si="0"/>
        <v>46</v>
      </c>
      <c r="AU3" s="101">
        <f t="shared" si="0"/>
        <v>47</v>
      </c>
      <c r="AV3" s="101">
        <f t="shared" si="0"/>
        <v>48</v>
      </c>
      <c r="AW3" s="101">
        <f t="shared" si="0"/>
        <v>49</v>
      </c>
      <c r="AX3" s="101">
        <f t="shared" si="0"/>
        <v>50</v>
      </c>
      <c r="AY3" s="101">
        <f t="shared" si="0"/>
        <v>51</v>
      </c>
    </row>
    <row r="4" spans="1:86" ht="16.2" x14ac:dyDescent="0.35">
      <c r="A4" s="105"/>
      <c r="C4" s="102">
        <v>1</v>
      </c>
      <c r="D4" s="102">
        <f>C4+1</f>
        <v>2</v>
      </c>
      <c r="E4" s="102">
        <f t="shared" ref="E4:AY4" si="1">D4+1</f>
        <v>3</v>
      </c>
      <c r="F4" s="102">
        <f t="shared" si="1"/>
        <v>4</v>
      </c>
      <c r="G4" s="102">
        <f t="shared" si="1"/>
        <v>5</v>
      </c>
      <c r="H4" s="102">
        <f t="shared" si="1"/>
        <v>6</v>
      </c>
      <c r="I4" s="102">
        <f t="shared" si="1"/>
        <v>7</v>
      </c>
      <c r="J4" s="102">
        <f t="shared" si="1"/>
        <v>8</v>
      </c>
      <c r="K4" s="102">
        <f t="shared" si="1"/>
        <v>9</v>
      </c>
      <c r="L4" s="102">
        <f t="shared" si="1"/>
        <v>10</v>
      </c>
      <c r="M4" s="102">
        <f t="shared" si="1"/>
        <v>11</v>
      </c>
      <c r="N4" s="102">
        <f t="shared" si="1"/>
        <v>12</v>
      </c>
      <c r="O4" s="102">
        <f t="shared" si="1"/>
        <v>13</v>
      </c>
      <c r="P4" s="102">
        <f t="shared" si="1"/>
        <v>14</v>
      </c>
      <c r="Q4" s="102">
        <f t="shared" si="1"/>
        <v>15</v>
      </c>
      <c r="R4" s="102">
        <f t="shared" si="1"/>
        <v>16</v>
      </c>
      <c r="S4" s="102">
        <f t="shared" si="1"/>
        <v>17</v>
      </c>
      <c r="T4" s="102">
        <f t="shared" si="1"/>
        <v>18</v>
      </c>
      <c r="U4" s="102">
        <f t="shared" si="1"/>
        <v>19</v>
      </c>
      <c r="V4" s="102">
        <f t="shared" si="1"/>
        <v>20</v>
      </c>
      <c r="W4" s="102">
        <f t="shared" si="1"/>
        <v>21</v>
      </c>
      <c r="X4" s="102">
        <f t="shared" si="1"/>
        <v>22</v>
      </c>
      <c r="Y4" s="102">
        <f t="shared" si="1"/>
        <v>23</v>
      </c>
      <c r="Z4" s="102">
        <f t="shared" si="1"/>
        <v>24</v>
      </c>
      <c r="AA4" s="102">
        <f t="shared" si="1"/>
        <v>25</v>
      </c>
      <c r="AB4" s="102">
        <f t="shared" si="1"/>
        <v>26</v>
      </c>
      <c r="AC4" s="102">
        <f t="shared" si="1"/>
        <v>27</v>
      </c>
      <c r="AD4" s="102">
        <f t="shared" si="1"/>
        <v>28</v>
      </c>
      <c r="AE4" s="102">
        <f t="shared" si="1"/>
        <v>29</v>
      </c>
      <c r="AF4" s="102">
        <f t="shared" si="1"/>
        <v>30</v>
      </c>
      <c r="AG4" s="102">
        <f t="shared" si="1"/>
        <v>31</v>
      </c>
      <c r="AH4" s="102">
        <f t="shared" si="1"/>
        <v>32</v>
      </c>
      <c r="AI4" s="102">
        <f t="shared" si="1"/>
        <v>33</v>
      </c>
      <c r="AJ4" s="102">
        <f t="shared" si="1"/>
        <v>34</v>
      </c>
      <c r="AK4" s="102">
        <f t="shared" si="1"/>
        <v>35</v>
      </c>
      <c r="AL4" s="102">
        <f t="shared" si="1"/>
        <v>36</v>
      </c>
      <c r="AM4" s="102">
        <f t="shared" si="1"/>
        <v>37</v>
      </c>
      <c r="AN4" s="102">
        <f t="shared" si="1"/>
        <v>38</v>
      </c>
      <c r="AO4" s="102">
        <f t="shared" si="1"/>
        <v>39</v>
      </c>
      <c r="AP4" s="102">
        <f t="shared" si="1"/>
        <v>40</v>
      </c>
      <c r="AQ4" s="102">
        <f t="shared" si="1"/>
        <v>41</v>
      </c>
      <c r="AR4" s="102">
        <f t="shared" si="1"/>
        <v>42</v>
      </c>
      <c r="AS4" s="102">
        <f t="shared" si="1"/>
        <v>43</v>
      </c>
      <c r="AT4" s="102">
        <f t="shared" si="1"/>
        <v>44</v>
      </c>
      <c r="AU4" s="102">
        <f t="shared" si="1"/>
        <v>45</v>
      </c>
      <c r="AV4" s="102">
        <f t="shared" si="1"/>
        <v>46</v>
      </c>
      <c r="AW4" s="102">
        <f t="shared" si="1"/>
        <v>47</v>
      </c>
      <c r="AX4" s="102">
        <f t="shared" si="1"/>
        <v>48</v>
      </c>
      <c r="AY4" s="102">
        <f t="shared" si="1"/>
        <v>49</v>
      </c>
    </row>
    <row r="5" spans="1:86" ht="16.2" x14ac:dyDescent="0.35">
      <c r="A5" s="105"/>
    </row>
    <row r="6" spans="1:86" ht="16.2" x14ac:dyDescent="0.35">
      <c r="A6" s="105"/>
      <c r="C6" s="104" t="s">
        <v>2</v>
      </c>
      <c r="D6" s="104" t="s">
        <v>3</v>
      </c>
      <c r="E6" s="104" t="s">
        <v>4</v>
      </c>
      <c r="F6" s="104" t="s">
        <v>5</v>
      </c>
      <c r="G6" s="104" t="s">
        <v>6</v>
      </c>
      <c r="H6" s="104" t="s">
        <v>7</v>
      </c>
      <c r="I6" s="104" t="s">
        <v>8</v>
      </c>
      <c r="J6" s="104" t="s">
        <v>9</v>
      </c>
      <c r="K6" s="104" t="s">
        <v>10</v>
      </c>
      <c r="L6" s="104" t="s">
        <v>11</v>
      </c>
      <c r="M6" s="104" t="s">
        <v>12</v>
      </c>
      <c r="N6" s="104" t="s">
        <v>13</v>
      </c>
      <c r="O6" s="97" t="s">
        <v>2</v>
      </c>
      <c r="P6" s="97" t="s">
        <v>3</v>
      </c>
      <c r="Q6" s="97" t="s">
        <v>4</v>
      </c>
      <c r="R6" s="97" t="s">
        <v>5</v>
      </c>
      <c r="S6" s="97" t="s">
        <v>6</v>
      </c>
      <c r="T6" s="97" t="s">
        <v>7</v>
      </c>
      <c r="U6" s="97" t="s">
        <v>8</v>
      </c>
      <c r="V6" s="97" t="s">
        <v>9</v>
      </c>
      <c r="W6" s="97" t="s">
        <v>10</v>
      </c>
      <c r="X6" s="97" t="s">
        <v>11</v>
      </c>
      <c r="Y6" s="97" t="s">
        <v>12</v>
      </c>
      <c r="Z6" s="97" t="s">
        <v>13</v>
      </c>
      <c r="AA6" s="97" t="s">
        <v>2</v>
      </c>
      <c r="AB6" s="97" t="s">
        <v>3</v>
      </c>
      <c r="AC6" s="97" t="s">
        <v>4</v>
      </c>
      <c r="AD6" s="97" t="s">
        <v>5</v>
      </c>
      <c r="AE6" s="97" t="s">
        <v>6</v>
      </c>
      <c r="AF6" s="97" t="s">
        <v>7</v>
      </c>
      <c r="AG6" s="97" t="s">
        <v>8</v>
      </c>
      <c r="AH6" s="97" t="s">
        <v>9</v>
      </c>
      <c r="AI6" s="97" t="s">
        <v>10</v>
      </c>
      <c r="AJ6" s="97" t="s">
        <v>11</v>
      </c>
      <c r="AK6" s="97" t="s">
        <v>12</v>
      </c>
      <c r="AL6" s="97" t="s">
        <v>13</v>
      </c>
      <c r="AM6" s="97" t="s">
        <v>2</v>
      </c>
      <c r="AN6" s="97" t="s">
        <v>3</v>
      </c>
      <c r="AO6" s="97" t="s">
        <v>4</v>
      </c>
      <c r="AP6" s="97" t="s">
        <v>5</v>
      </c>
      <c r="AQ6" s="97" t="s">
        <v>6</v>
      </c>
      <c r="AR6" s="97" t="s">
        <v>7</v>
      </c>
      <c r="AS6" s="97" t="s">
        <v>8</v>
      </c>
      <c r="AT6" s="97" t="s">
        <v>9</v>
      </c>
      <c r="AU6" s="97" t="s">
        <v>10</v>
      </c>
      <c r="AV6" s="97" t="s">
        <v>11</v>
      </c>
      <c r="AW6" s="97" t="s">
        <v>12</v>
      </c>
      <c r="AX6" s="97" t="s">
        <v>13</v>
      </c>
      <c r="AY6" s="97" t="s">
        <v>2</v>
      </c>
      <c r="AZ6" s="97" t="s">
        <v>3</v>
      </c>
      <c r="BA6" s="97" t="s">
        <v>4</v>
      </c>
      <c r="BB6" s="97" t="s">
        <v>5</v>
      </c>
      <c r="BC6" s="97" t="s">
        <v>6</v>
      </c>
      <c r="BD6" s="97" t="s">
        <v>7</v>
      </c>
      <c r="BE6" s="97" t="s">
        <v>8</v>
      </c>
      <c r="BF6" s="97" t="s">
        <v>9</v>
      </c>
      <c r="BG6" s="97" t="s">
        <v>10</v>
      </c>
      <c r="BH6" s="97" t="s">
        <v>11</v>
      </c>
      <c r="BI6" s="97" t="s">
        <v>12</v>
      </c>
      <c r="BJ6" s="97" t="s">
        <v>13</v>
      </c>
      <c r="BK6" s="97" t="s">
        <v>2</v>
      </c>
      <c r="BL6" s="97" t="s">
        <v>3</v>
      </c>
      <c r="BM6" s="97" t="s">
        <v>4</v>
      </c>
      <c r="BN6" s="97" t="s">
        <v>5</v>
      </c>
      <c r="BO6" s="97" t="s">
        <v>6</v>
      </c>
      <c r="BP6" s="97" t="s">
        <v>7</v>
      </c>
      <c r="BQ6" s="97" t="s">
        <v>8</v>
      </c>
      <c r="BR6" s="97" t="s">
        <v>9</v>
      </c>
      <c r="BS6" s="97" t="s">
        <v>10</v>
      </c>
      <c r="BT6" s="97" t="s">
        <v>11</v>
      </c>
      <c r="BU6" s="97" t="s">
        <v>12</v>
      </c>
      <c r="BV6" s="97" t="s">
        <v>13</v>
      </c>
      <c r="BW6" s="97" t="s">
        <v>2</v>
      </c>
      <c r="BX6" s="97" t="s">
        <v>3</v>
      </c>
      <c r="BY6" s="97" t="s">
        <v>4</v>
      </c>
      <c r="BZ6" s="97" t="s">
        <v>5</v>
      </c>
      <c r="CA6" s="97" t="s">
        <v>6</v>
      </c>
      <c r="CB6" s="97" t="s">
        <v>7</v>
      </c>
      <c r="CC6" s="97" t="s">
        <v>8</v>
      </c>
      <c r="CD6" s="97" t="s">
        <v>9</v>
      </c>
      <c r="CE6" s="97" t="s">
        <v>10</v>
      </c>
      <c r="CF6" s="97" t="s">
        <v>11</v>
      </c>
      <c r="CG6" s="97" t="s">
        <v>12</v>
      </c>
      <c r="CH6" s="97" t="s">
        <v>13</v>
      </c>
    </row>
    <row r="7" spans="1:86" ht="16.2" x14ac:dyDescent="0.35">
      <c r="A7" s="105"/>
      <c r="C7" s="104">
        <v>2023</v>
      </c>
      <c r="D7" s="104">
        <v>2023</v>
      </c>
      <c r="E7" s="104">
        <v>2023</v>
      </c>
      <c r="F7" s="104">
        <v>2023</v>
      </c>
      <c r="G7" s="104">
        <v>2023</v>
      </c>
      <c r="H7" s="104">
        <v>2023</v>
      </c>
      <c r="I7" s="104">
        <v>2023</v>
      </c>
      <c r="J7" s="104">
        <v>2023</v>
      </c>
      <c r="K7" s="104">
        <v>2023</v>
      </c>
      <c r="L7" s="104">
        <v>2023</v>
      </c>
      <c r="M7" s="104">
        <v>2023</v>
      </c>
      <c r="N7" s="104">
        <v>2023</v>
      </c>
      <c r="O7" s="97">
        <f>C7+1</f>
        <v>2024</v>
      </c>
      <c r="P7" s="97">
        <f t="shared" ref="P7:Z7" si="2">D7+1</f>
        <v>2024</v>
      </c>
      <c r="Q7" s="97">
        <f t="shared" si="2"/>
        <v>2024</v>
      </c>
      <c r="R7" s="97">
        <f t="shared" si="2"/>
        <v>2024</v>
      </c>
      <c r="S7" s="97">
        <f t="shared" si="2"/>
        <v>2024</v>
      </c>
      <c r="T7" s="97">
        <f t="shared" si="2"/>
        <v>2024</v>
      </c>
      <c r="U7" s="97">
        <f t="shared" si="2"/>
        <v>2024</v>
      </c>
      <c r="V7" s="97">
        <f t="shared" si="2"/>
        <v>2024</v>
      </c>
      <c r="W7" s="97">
        <f t="shared" si="2"/>
        <v>2024</v>
      </c>
      <c r="X7" s="97">
        <f t="shared" si="2"/>
        <v>2024</v>
      </c>
      <c r="Y7" s="97">
        <f t="shared" si="2"/>
        <v>2024</v>
      </c>
      <c r="Z7" s="97">
        <f t="shared" si="2"/>
        <v>2024</v>
      </c>
      <c r="AA7" s="97">
        <f>O7+1</f>
        <v>2025</v>
      </c>
      <c r="AB7" s="97">
        <f t="shared" ref="AB7" si="3">P7+1</f>
        <v>2025</v>
      </c>
      <c r="AC7" s="97">
        <f t="shared" ref="AC7" si="4">Q7+1</f>
        <v>2025</v>
      </c>
      <c r="AD7" s="97">
        <f t="shared" ref="AD7" si="5">R7+1</f>
        <v>2025</v>
      </c>
      <c r="AE7" s="97">
        <f t="shared" ref="AE7" si="6">S7+1</f>
        <v>2025</v>
      </c>
      <c r="AF7" s="97">
        <f t="shared" ref="AF7" si="7">T7+1</f>
        <v>2025</v>
      </c>
      <c r="AG7" s="97">
        <f t="shared" ref="AG7" si="8">U7+1</f>
        <v>2025</v>
      </c>
      <c r="AH7" s="97">
        <f t="shared" ref="AH7" si="9">V7+1</f>
        <v>2025</v>
      </c>
      <c r="AI7" s="97">
        <f t="shared" ref="AI7" si="10">W7+1</f>
        <v>2025</v>
      </c>
      <c r="AJ7" s="97">
        <f t="shared" ref="AJ7" si="11">X7+1</f>
        <v>2025</v>
      </c>
      <c r="AK7" s="97">
        <f t="shared" ref="AK7" si="12">Y7+1</f>
        <v>2025</v>
      </c>
      <c r="AL7" s="97">
        <f t="shared" ref="AL7" si="13">Z7+1</f>
        <v>2025</v>
      </c>
      <c r="AM7" s="97">
        <f>AA7+1</f>
        <v>2026</v>
      </c>
      <c r="AN7" s="97">
        <f t="shared" ref="AN7" si="14">AB7+1</f>
        <v>2026</v>
      </c>
      <c r="AO7" s="97">
        <f t="shared" ref="AO7" si="15">AC7+1</f>
        <v>2026</v>
      </c>
      <c r="AP7" s="97">
        <f t="shared" ref="AP7" si="16">AD7+1</f>
        <v>2026</v>
      </c>
      <c r="AQ7" s="97">
        <f t="shared" ref="AQ7" si="17">AE7+1</f>
        <v>2026</v>
      </c>
      <c r="AR7" s="97">
        <f t="shared" ref="AR7" si="18">AF7+1</f>
        <v>2026</v>
      </c>
      <c r="AS7" s="97">
        <f t="shared" ref="AS7" si="19">AG7+1</f>
        <v>2026</v>
      </c>
      <c r="AT7" s="97">
        <f t="shared" ref="AT7" si="20">AH7+1</f>
        <v>2026</v>
      </c>
      <c r="AU7" s="97">
        <f t="shared" ref="AU7" si="21">AI7+1</f>
        <v>2026</v>
      </c>
      <c r="AV7" s="97">
        <f t="shared" ref="AV7" si="22">AJ7+1</f>
        <v>2026</v>
      </c>
      <c r="AW7" s="97">
        <f t="shared" ref="AW7" si="23">AK7+1</f>
        <v>2026</v>
      </c>
      <c r="AX7" s="97">
        <f t="shared" ref="AX7" si="24">AL7+1</f>
        <v>2026</v>
      </c>
      <c r="AY7" s="97">
        <f>AM7+1</f>
        <v>2027</v>
      </c>
      <c r="AZ7" s="97">
        <f t="shared" ref="AZ7" si="25">AN7+1</f>
        <v>2027</v>
      </c>
      <c r="BA7" s="97">
        <f t="shared" ref="BA7" si="26">AO7+1</f>
        <v>2027</v>
      </c>
      <c r="BB7" s="97">
        <f t="shared" ref="BB7" si="27">AP7+1</f>
        <v>2027</v>
      </c>
      <c r="BC7" s="97">
        <f t="shared" ref="BC7" si="28">AQ7+1</f>
        <v>2027</v>
      </c>
      <c r="BD7" s="97">
        <f t="shared" ref="BD7" si="29">AR7+1</f>
        <v>2027</v>
      </c>
      <c r="BE7" s="97">
        <f t="shared" ref="BE7" si="30">AS7+1</f>
        <v>2027</v>
      </c>
      <c r="BF7" s="97">
        <f t="shared" ref="BF7" si="31">AT7+1</f>
        <v>2027</v>
      </c>
      <c r="BG7" s="97">
        <f t="shared" ref="BG7" si="32">AU7+1</f>
        <v>2027</v>
      </c>
      <c r="BH7" s="97">
        <f t="shared" ref="BH7" si="33">AV7+1</f>
        <v>2027</v>
      </c>
      <c r="BI7" s="97">
        <f t="shared" ref="BI7" si="34">AW7+1</f>
        <v>2027</v>
      </c>
      <c r="BJ7" s="97">
        <f t="shared" ref="BJ7" si="35">AX7+1</f>
        <v>2027</v>
      </c>
      <c r="BK7" s="97">
        <f>AY7+1</f>
        <v>2028</v>
      </c>
      <c r="BL7" s="97">
        <f t="shared" ref="BL7" si="36">AZ7+1</f>
        <v>2028</v>
      </c>
      <c r="BM7" s="97">
        <f t="shared" ref="BM7" si="37">BA7+1</f>
        <v>2028</v>
      </c>
      <c r="BN7" s="97">
        <f t="shared" ref="BN7" si="38">BB7+1</f>
        <v>2028</v>
      </c>
      <c r="BO7" s="97">
        <f t="shared" ref="BO7" si="39">BC7+1</f>
        <v>2028</v>
      </c>
      <c r="BP7" s="97">
        <f t="shared" ref="BP7" si="40">BD7+1</f>
        <v>2028</v>
      </c>
      <c r="BQ7" s="97">
        <f t="shared" ref="BQ7" si="41">BE7+1</f>
        <v>2028</v>
      </c>
      <c r="BR7" s="97">
        <f t="shared" ref="BR7" si="42">BF7+1</f>
        <v>2028</v>
      </c>
      <c r="BS7" s="97">
        <f t="shared" ref="BS7" si="43">BG7+1</f>
        <v>2028</v>
      </c>
      <c r="BT7" s="97">
        <f t="shared" ref="BT7" si="44">BH7+1</f>
        <v>2028</v>
      </c>
      <c r="BU7" s="97">
        <f t="shared" ref="BU7" si="45">BI7+1</f>
        <v>2028</v>
      </c>
      <c r="BV7" s="97">
        <f t="shared" ref="BV7" si="46">BJ7+1</f>
        <v>2028</v>
      </c>
      <c r="BW7" s="97">
        <f>BK7+1</f>
        <v>2029</v>
      </c>
      <c r="BX7" s="97">
        <f t="shared" ref="BX7" si="47">BL7+1</f>
        <v>2029</v>
      </c>
      <c r="BY7" s="97">
        <f t="shared" ref="BY7" si="48">BM7+1</f>
        <v>2029</v>
      </c>
      <c r="BZ7" s="97">
        <f t="shared" ref="BZ7" si="49">BN7+1</f>
        <v>2029</v>
      </c>
      <c r="CA7" s="97">
        <f t="shared" ref="CA7" si="50">BO7+1</f>
        <v>2029</v>
      </c>
      <c r="CB7" s="97">
        <f t="shared" ref="CB7" si="51">BP7+1</f>
        <v>2029</v>
      </c>
      <c r="CC7" s="97">
        <f t="shared" ref="CC7" si="52">BQ7+1</f>
        <v>2029</v>
      </c>
      <c r="CD7" s="97">
        <f t="shared" ref="CD7" si="53">BR7+1</f>
        <v>2029</v>
      </c>
      <c r="CE7" s="97">
        <f t="shared" ref="CE7" si="54">BS7+1</f>
        <v>2029</v>
      </c>
      <c r="CF7" s="97">
        <f t="shared" ref="CF7" si="55">BT7+1</f>
        <v>2029</v>
      </c>
      <c r="CG7" s="97">
        <f t="shared" ref="CG7" si="56">BU7+1</f>
        <v>2029</v>
      </c>
      <c r="CH7" s="97">
        <f t="shared" ref="CH7" si="57">BV7+1</f>
        <v>2029</v>
      </c>
    </row>
    <row r="8" spans="1:86" ht="16.2" x14ac:dyDescent="0.35">
      <c r="A8" s="110" t="s">
        <v>93</v>
      </c>
      <c r="C8" s="108">
        <v>334000000</v>
      </c>
      <c r="D8" s="109">
        <f>C8*(1+0.1%)</f>
        <v>334333999.99999994</v>
      </c>
      <c r="E8" s="109">
        <f t="shared" ref="E8:N8" si="58">D8*(1+0.1%)</f>
        <v>334668333.99999988</v>
      </c>
      <c r="F8" s="109">
        <f t="shared" si="58"/>
        <v>335003002.33399987</v>
      </c>
      <c r="G8" s="109">
        <f t="shared" si="58"/>
        <v>335338005.33633381</v>
      </c>
      <c r="H8" s="109">
        <f t="shared" si="58"/>
        <v>335673343.3416701</v>
      </c>
      <c r="I8" s="109">
        <f t="shared" si="58"/>
        <v>336009016.68501174</v>
      </c>
      <c r="J8" s="109">
        <f t="shared" si="58"/>
        <v>336345025.70169669</v>
      </c>
      <c r="K8" s="109">
        <f t="shared" si="58"/>
        <v>336681370.72739834</v>
      </c>
      <c r="L8" s="109">
        <f t="shared" si="58"/>
        <v>337018052.0981257</v>
      </c>
      <c r="M8" s="109">
        <f t="shared" si="58"/>
        <v>337355070.15022379</v>
      </c>
      <c r="N8" s="109">
        <f t="shared" si="58"/>
        <v>337692425.22037399</v>
      </c>
    </row>
    <row r="9" spans="1:86" ht="16.2" x14ac:dyDescent="0.35">
      <c r="A9" s="110" t="s">
        <v>94</v>
      </c>
      <c r="C9" s="111">
        <v>4.0000000000000001E-3</v>
      </c>
      <c r="D9" s="111">
        <v>4.0000000000000001E-3</v>
      </c>
      <c r="E9" s="111">
        <v>4.0000000000000001E-3</v>
      </c>
      <c r="F9" s="111">
        <v>4.0000000000000001E-3</v>
      </c>
      <c r="G9" s="111">
        <v>4.0000000000000001E-3</v>
      </c>
      <c r="H9" s="111">
        <v>4.0000000000000001E-3</v>
      </c>
      <c r="I9" s="111">
        <v>4.0000000000000001E-3</v>
      </c>
      <c r="J9" s="111">
        <v>4.0000000000000001E-3</v>
      </c>
      <c r="K9" s="111">
        <v>4.0000000000000001E-3</v>
      </c>
      <c r="L9" s="111">
        <v>4.0000000000000001E-3</v>
      </c>
      <c r="M9" s="111">
        <v>4.0000000000000001E-3</v>
      </c>
      <c r="N9" s="111">
        <v>4.0000000000000001E-3</v>
      </c>
    </row>
    <row r="10" spans="1:86" ht="16.2" x14ac:dyDescent="0.35">
      <c r="A10" s="105"/>
    </row>
    <row r="11" spans="1:86" ht="16.2" x14ac:dyDescent="0.35">
      <c r="A11" s="110" t="s">
        <v>95</v>
      </c>
      <c r="C11" s="112">
        <f>C9*C8</f>
        <v>1336000</v>
      </c>
      <c r="D11" s="112">
        <f t="shared" ref="D11:N11" si="59">D9*D8</f>
        <v>1337335.9999999998</v>
      </c>
      <c r="E11" s="112">
        <f t="shared" si="59"/>
        <v>1338673.3359999997</v>
      </c>
      <c r="F11" s="112">
        <f t="shared" si="59"/>
        <v>1340012.0093359996</v>
      </c>
      <c r="G11" s="112">
        <f t="shared" si="59"/>
        <v>1341352.0213453353</v>
      </c>
      <c r="H11" s="112">
        <f t="shared" si="59"/>
        <v>1342693.3733666805</v>
      </c>
      <c r="I11" s="112">
        <f t="shared" si="59"/>
        <v>1344036.066740047</v>
      </c>
      <c r="J11" s="112">
        <f t="shared" si="59"/>
        <v>1345380.1028067868</v>
      </c>
      <c r="K11" s="112">
        <f t="shared" si="59"/>
        <v>1346725.4829095933</v>
      </c>
      <c r="L11" s="112">
        <f t="shared" si="59"/>
        <v>1348072.2083925027</v>
      </c>
      <c r="M11" s="112">
        <f t="shared" si="59"/>
        <v>1349420.2806008952</v>
      </c>
      <c r="N11" s="112">
        <f t="shared" si="59"/>
        <v>1350769.7008814961</v>
      </c>
    </row>
    <row r="12" spans="1:86" ht="16.2" x14ac:dyDescent="0.35">
      <c r="A12" s="105"/>
    </row>
    <row r="13" spans="1:86" ht="16.2" x14ac:dyDescent="0.35">
      <c r="A13" s="110" t="s">
        <v>66</v>
      </c>
      <c r="C13" s="113">
        <v>0.95</v>
      </c>
      <c r="D13" s="113">
        <v>0.95</v>
      </c>
      <c r="E13" s="113">
        <v>0.95</v>
      </c>
      <c r="F13" s="113">
        <v>0.95</v>
      </c>
      <c r="G13" s="113">
        <v>0.95</v>
      </c>
      <c r="H13" s="113">
        <v>0.95</v>
      </c>
      <c r="I13" s="113">
        <v>0.95</v>
      </c>
      <c r="J13" s="113">
        <v>0.95</v>
      </c>
      <c r="K13" s="113">
        <v>0.95</v>
      </c>
      <c r="L13" s="113">
        <v>0.95</v>
      </c>
      <c r="M13" s="113">
        <v>0.95</v>
      </c>
      <c r="N13" s="113">
        <v>0.95</v>
      </c>
    </row>
    <row r="14" spans="1:86" ht="16.2" x14ac:dyDescent="0.35">
      <c r="A14" s="105"/>
    </row>
    <row r="15" spans="1:86" ht="16.2" x14ac:dyDescent="0.35">
      <c r="A15" s="110" t="s">
        <v>67</v>
      </c>
      <c r="C15" s="112">
        <f>C13*C11</f>
        <v>1269200</v>
      </c>
      <c r="D15" s="112">
        <f t="shared" ref="D15:N15" si="60">D13*D11</f>
        <v>1270469.1999999997</v>
      </c>
      <c r="E15" s="112">
        <f t="shared" si="60"/>
        <v>1271739.6691999997</v>
      </c>
      <c r="F15" s="112">
        <f t="shared" si="60"/>
        <v>1273011.4088691995</v>
      </c>
      <c r="G15" s="112">
        <f t="shared" si="60"/>
        <v>1274284.4202780684</v>
      </c>
      <c r="H15" s="112">
        <f t="shared" si="60"/>
        <v>1275558.7046983463</v>
      </c>
      <c r="I15" s="112">
        <f t="shared" si="60"/>
        <v>1276834.2634030445</v>
      </c>
      <c r="J15" s="112">
        <f t="shared" si="60"/>
        <v>1278111.0976664473</v>
      </c>
      <c r="K15" s="112">
        <f t="shared" si="60"/>
        <v>1279389.2087641135</v>
      </c>
      <c r="L15" s="112">
        <f t="shared" si="60"/>
        <v>1280668.5979728776</v>
      </c>
      <c r="M15" s="112">
        <f t="shared" si="60"/>
        <v>1281949.2665708503</v>
      </c>
      <c r="N15" s="112">
        <f t="shared" si="60"/>
        <v>1283231.2158374211</v>
      </c>
    </row>
    <row r="16" spans="1:86" ht="16.2" x14ac:dyDescent="0.35">
      <c r="A16" s="105"/>
    </row>
    <row r="17" spans="1:14" ht="16.2" x14ac:dyDescent="0.35">
      <c r="A17" s="110" t="s">
        <v>68</v>
      </c>
    </row>
    <row r="18" spans="1:14" ht="16.2" x14ac:dyDescent="0.35">
      <c r="A18" s="114" t="s">
        <v>72</v>
      </c>
      <c r="C18" s="113">
        <v>0.8</v>
      </c>
      <c r="D18" s="113">
        <v>0.8</v>
      </c>
      <c r="E18" s="113">
        <v>0.8</v>
      </c>
      <c r="F18" s="113">
        <v>0.8</v>
      </c>
      <c r="G18" s="113">
        <v>0.8</v>
      </c>
      <c r="H18" s="113">
        <v>0.8</v>
      </c>
      <c r="I18" s="113">
        <v>0.8</v>
      </c>
      <c r="J18" s="113">
        <v>0.8</v>
      </c>
      <c r="K18" s="113">
        <v>0.8</v>
      </c>
      <c r="L18" s="113">
        <v>0.8</v>
      </c>
      <c r="M18" s="113">
        <v>0.8</v>
      </c>
      <c r="N18" s="113">
        <v>0.8</v>
      </c>
    </row>
    <row r="19" spans="1:14" ht="16.2" x14ac:dyDescent="0.35">
      <c r="A19" s="114" t="s">
        <v>96</v>
      </c>
      <c r="C19" s="113">
        <v>0.15</v>
      </c>
      <c r="D19" s="113">
        <v>0.15</v>
      </c>
      <c r="E19" s="113">
        <v>0.15</v>
      </c>
      <c r="F19" s="113">
        <v>0.15</v>
      </c>
      <c r="G19" s="113">
        <v>0.15</v>
      </c>
      <c r="H19" s="113">
        <v>0.15</v>
      </c>
      <c r="I19" s="113">
        <v>0.15</v>
      </c>
      <c r="J19" s="113">
        <v>0.15</v>
      </c>
      <c r="K19" s="113">
        <v>0.15</v>
      </c>
      <c r="L19" s="113">
        <v>0.15</v>
      </c>
      <c r="M19" s="113">
        <v>0.15</v>
      </c>
      <c r="N19" s="113">
        <v>0.15</v>
      </c>
    </row>
    <row r="20" spans="1:14" ht="16.2" x14ac:dyDescent="0.35">
      <c r="A20" s="114" t="s">
        <v>97</v>
      </c>
      <c r="C20" s="113">
        <v>0.05</v>
      </c>
      <c r="D20" s="113">
        <v>0.05</v>
      </c>
      <c r="E20" s="113">
        <v>0.05</v>
      </c>
      <c r="F20" s="113">
        <v>0.05</v>
      </c>
      <c r="G20" s="113">
        <v>0.05</v>
      </c>
      <c r="H20" s="113">
        <v>0.05</v>
      </c>
      <c r="I20" s="113">
        <v>0.05</v>
      </c>
      <c r="J20" s="113">
        <v>0.05</v>
      </c>
      <c r="K20" s="113">
        <v>0.05</v>
      </c>
      <c r="L20" s="113">
        <v>0.05</v>
      </c>
      <c r="M20" s="113">
        <v>0.05</v>
      </c>
      <c r="N20" s="113">
        <v>0.05</v>
      </c>
    </row>
    <row r="21" spans="1:14" ht="16.2" x14ac:dyDescent="0.35">
      <c r="A21" s="105"/>
    </row>
    <row r="22" spans="1:14" ht="16.2" x14ac:dyDescent="0.35">
      <c r="A22" s="105" t="s">
        <v>73</v>
      </c>
    </row>
    <row r="23" spans="1:14" ht="16.2" x14ac:dyDescent="0.35">
      <c r="A23" s="105" t="s">
        <v>72</v>
      </c>
      <c r="C23" s="115">
        <f>VLOOKUP($A$23,$A$18:$N$20,3,FALSE)</f>
        <v>0.8</v>
      </c>
      <c r="D23" s="115">
        <f t="shared" ref="D23:N23" si="61">VLOOKUP($A$23,$A$18:$N$20,3,FALSE)</f>
        <v>0.8</v>
      </c>
      <c r="E23" s="115">
        <f t="shared" si="61"/>
        <v>0.8</v>
      </c>
      <c r="F23" s="115">
        <f t="shared" si="61"/>
        <v>0.8</v>
      </c>
      <c r="G23" s="115">
        <f t="shared" si="61"/>
        <v>0.8</v>
      </c>
      <c r="H23" s="115">
        <f t="shared" si="61"/>
        <v>0.8</v>
      </c>
      <c r="I23" s="115">
        <f t="shared" si="61"/>
        <v>0.8</v>
      </c>
      <c r="J23" s="115">
        <f t="shared" si="61"/>
        <v>0.8</v>
      </c>
      <c r="K23" s="115">
        <f t="shared" si="61"/>
        <v>0.8</v>
      </c>
      <c r="L23" s="115">
        <f t="shared" si="61"/>
        <v>0.8</v>
      </c>
      <c r="M23" s="115">
        <f t="shared" si="61"/>
        <v>0.8</v>
      </c>
      <c r="N23" s="115">
        <f t="shared" si="61"/>
        <v>0.8</v>
      </c>
    </row>
    <row r="24" spans="1:14" ht="16.2" x14ac:dyDescent="0.35">
      <c r="A24" s="105"/>
    </row>
    <row r="25" spans="1:14" ht="16.2" x14ac:dyDescent="0.35">
      <c r="A25" s="105" t="str">
        <f>"Selected "&amp;A23&amp;" Patients"</f>
        <v>Selected Subtype I (NSCLC) Patients</v>
      </c>
      <c r="C25" s="112">
        <f>C23*C15</f>
        <v>1015360</v>
      </c>
      <c r="D25" s="112">
        <f t="shared" ref="D25:N25" si="62">D23*D15</f>
        <v>1016375.3599999999</v>
      </c>
      <c r="E25" s="112">
        <f t="shared" si="62"/>
        <v>1017391.7353599998</v>
      </c>
      <c r="F25" s="112">
        <f t="shared" si="62"/>
        <v>1018409.1270953596</v>
      </c>
      <c r="G25" s="112">
        <f t="shared" si="62"/>
        <v>1019427.5362224547</v>
      </c>
      <c r="H25" s="112">
        <f t="shared" si="62"/>
        <v>1020446.9637586771</v>
      </c>
      <c r="I25" s="112">
        <f t="shared" si="62"/>
        <v>1021467.4107224357</v>
      </c>
      <c r="J25" s="112">
        <f t="shared" si="62"/>
        <v>1022488.8781331579</v>
      </c>
      <c r="K25" s="112">
        <f t="shared" si="62"/>
        <v>1023511.3670112909</v>
      </c>
      <c r="L25" s="112">
        <f t="shared" si="62"/>
        <v>1024534.8783783021</v>
      </c>
      <c r="M25" s="112">
        <f t="shared" si="62"/>
        <v>1025559.4132566802</v>
      </c>
      <c r="N25" s="112">
        <f t="shared" si="62"/>
        <v>1026584.9726699369</v>
      </c>
    </row>
    <row r="26" spans="1:14" ht="16.2" x14ac:dyDescent="0.35">
      <c r="A26" s="105"/>
    </row>
    <row r="27" spans="1:14" ht="16.2" x14ac:dyDescent="0.35">
      <c r="A27" s="105"/>
    </row>
    <row r="28" spans="1:14" ht="16.2" x14ac:dyDescent="0.35">
      <c r="A28" s="110" t="s">
        <v>99</v>
      </c>
    </row>
    <row r="29" spans="1:14" ht="16.2" x14ac:dyDescent="0.35">
      <c r="A29" s="114" t="s">
        <v>26</v>
      </c>
      <c r="C29" s="113">
        <v>0.15</v>
      </c>
      <c r="D29" s="113">
        <v>0.15</v>
      </c>
      <c r="E29" s="113">
        <v>0.15</v>
      </c>
      <c r="F29" s="113">
        <v>0.15</v>
      </c>
      <c r="G29" s="113">
        <v>0.15</v>
      </c>
      <c r="H29" s="113">
        <v>0.15</v>
      </c>
      <c r="I29" s="113">
        <v>0.15</v>
      </c>
      <c r="J29" s="113">
        <v>0.15</v>
      </c>
      <c r="K29" s="113">
        <v>0.15</v>
      </c>
      <c r="L29" s="113">
        <v>0.15</v>
      </c>
      <c r="M29" s="113">
        <v>0.15</v>
      </c>
      <c r="N29" s="113">
        <v>0.15</v>
      </c>
    </row>
    <row r="30" spans="1:14" ht="16.2" x14ac:dyDescent="0.35">
      <c r="A30" s="114" t="s">
        <v>27</v>
      </c>
      <c r="C30" s="113">
        <v>0.2</v>
      </c>
      <c r="D30" s="113">
        <v>0.2</v>
      </c>
      <c r="E30" s="113">
        <v>0.2</v>
      </c>
      <c r="F30" s="113">
        <v>0.2</v>
      </c>
      <c r="G30" s="113">
        <v>0.2</v>
      </c>
      <c r="H30" s="113">
        <v>0.2</v>
      </c>
      <c r="I30" s="113">
        <v>0.2</v>
      </c>
      <c r="J30" s="113">
        <v>0.2</v>
      </c>
      <c r="K30" s="113">
        <v>0.2</v>
      </c>
      <c r="L30" s="113">
        <v>0.2</v>
      </c>
      <c r="M30" s="113">
        <v>0.2</v>
      </c>
      <c r="N30" s="113">
        <v>0.2</v>
      </c>
    </row>
    <row r="31" spans="1:14" ht="16.2" x14ac:dyDescent="0.35">
      <c r="A31" s="114" t="s">
        <v>28</v>
      </c>
      <c r="C31" s="113">
        <v>0.25</v>
      </c>
      <c r="D31" s="113">
        <v>0.25</v>
      </c>
      <c r="E31" s="113">
        <v>0.25</v>
      </c>
      <c r="F31" s="113">
        <v>0.25</v>
      </c>
      <c r="G31" s="113">
        <v>0.25</v>
      </c>
      <c r="H31" s="113">
        <v>0.25</v>
      </c>
      <c r="I31" s="113">
        <v>0.25</v>
      </c>
      <c r="J31" s="113">
        <v>0.25</v>
      </c>
      <c r="K31" s="113">
        <v>0.25</v>
      </c>
      <c r="L31" s="113">
        <v>0.25</v>
      </c>
      <c r="M31" s="113">
        <v>0.25</v>
      </c>
      <c r="N31" s="113">
        <v>0.25</v>
      </c>
    </row>
    <row r="32" spans="1:14" ht="16.2" x14ac:dyDescent="0.35">
      <c r="A32" s="114" t="s">
        <v>29</v>
      </c>
      <c r="C32" s="113">
        <v>0.4</v>
      </c>
      <c r="D32" s="113">
        <v>0.4</v>
      </c>
      <c r="E32" s="113">
        <v>0.4</v>
      </c>
      <c r="F32" s="113">
        <v>0.4</v>
      </c>
      <c r="G32" s="113">
        <v>0.4</v>
      </c>
      <c r="H32" s="113">
        <v>0.4</v>
      </c>
      <c r="I32" s="113">
        <v>0.4</v>
      </c>
      <c r="J32" s="113">
        <v>0.4</v>
      </c>
      <c r="K32" s="113">
        <v>0.4</v>
      </c>
      <c r="L32" s="113">
        <v>0.4</v>
      </c>
      <c r="M32" s="113">
        <v>0.4</v>
      </c>
      <c r="N32" s="113">
        <v>0.4</v>
      </c>
    </row>
    <row r="33" spans="1:14" x14ac:dyDescent="0.3">
      <c r="A33"/>
      <c r="C33" s="113"/>
      <c r="D33" s="113"/>
      <c r="E33" s="113"/>
      <c r="F33" s="113"/>
      <c r="G33" s="113"/>
      <c r="H33" s="113"/>
      <c r="I33" s="113"/>
      <c r="J33" s="113"/>
      <c r="K33" s="113"/>
      <c r="L33" s="113"/>
      <c r="M33" s="113"/>
      <c r="N33" s="113"/>
    </row>
    <row r="34" spans="1:14" x14ac:dyDescent="0.3">
      <c r="A34"/>
      <c r="C34" s="113"/>
      <c r="D34" s="113"/>
      <c r="E34" s="113"/>
      <c r="F34" s="113"/>
      <c r="G34" s="113"/>
      <c r="H34" s="113"/>
      <c r="I34" s="113"/>
      <c r="J34" s="113"/>
      <c r="K34" s="113"/>
      <c r="L34" s="113"/>
      <c r="M34" s="113"/>
      <c r="N34" s="113"/>
    </row>
    <row r="35" spans="1:14" ht="16.2" x14ac:dyDescent="0.35">
      <c r="A35" s="116" t="s">
        <v>26</v>
      </c>
      <c r="B35" s="117"/>
      <c r="C35" s="120">
        <f>C29*C25</f>
        <v>152304</v>
      </c>
      <c r="D35" s="120">
        <f t="shared" ref="D35:N35" si="63">D29*D25</f>
        <v>152456.30399999997</v>
      </c>
      <c r="E35" s="120">
        <f t="shared" si="63"/>
        <v>152608.76030399997</v>
      </c>
      <c r="F35" s="120">
        <f t="shared" si="63"/>
        <v>152761.36906430393</v>
      </c>
      <c r="G35" s="120">
        <f t="shared" si="63"/>
        <v>152914.13043336821</v>
      </c>
      <c r="H35" s="120">
        <f t="shared" si="63"/>
        <v>153067.04456380155</v>
      </c>
      <c r="I35" s="120">
        <f t="shared" si="63"/>
        <v>153220.11160836535</v>
      </c>
      <c r="J35" s="120">
        <f t="shared" si="63"/>
        <v>153373.33171997368</v>
      </c>
      <c r="K35" s="120">
        <f t="shared" si="63"/>
        <v>153526.70505169363</v>
      </c>
      <c r="L35" s="120">
        <f t="shared" si="63"/>
        <v>153680.23175674531</v>
      </c>
      <c r="M35" s="120">
        <f t="shared" si="63"/>
        <v>153833.91198850202</v>
      </c>
      <c r="N35" s="120">
        <f t="shared" si="63"/>
        <v>153987.74590049052</v>
      </c>
    </row>
    <row r="36" spans="1:14" ht="16.2" x14ac:dyDescent="0.35">
      <c r="A36" s="116" t="s">
        <v>27</v>
      </c>
      <c r="B36" s="117"/>
      <c r="C36" s="120">
        <f>C30*C25</f>
        <v>203072</v>
      </c>
      <c r="D36" s="120">
        <f t="shared" ref="D36:N36" si="64">D30*D25</f>
        <v>203275.07199999999</v>
      </c>
      <c r="E36" s="120">
        <f t="shared" si="64"/>
        <v>203478.34707199998</v>
      </c>
      <c r="F36" s="120">
        <f t="shared" si="64"/>
        <v>203681.82541907195</v>
      </c>
      <c r="G36" s="120">
        <f t="shared" si="64"/>
        <v>203885.50724449096</v>
      </c>
      <c r="H36" s="120">
        <f t="shared" si="64"/>
        <v>204089.39275173543</v>
      </c>
      <c r="I36" s="120">
        <f t="shared" si="64"/>
        <v>204293.48214448715</v>
      </c>
      <c r="J36" s="120">
        <f t="shared" si="64"/>
        <v>204497.77562663157</v>
      </c>
      <c r="K36" s="120">
        <f t="shared" si="64"/>
        <v>204702.27340225817</v>
      </c>
      <c r="L36" s="120">
        <f t="shared" si="64"/>
        <v>204906.97567566042</v>
      </c>
      <c r="M36" s="120">
        <f t="shared" si="64"/>
        <v>205111.88265133605</v>
      </c>
      <c r="N36" s="120">
        <f t="shared" si="64"/>
        <v>205316.9945339874</v>
      </c>
    </row>
    <row r="37" spans="1:14" ht="16.2" x14ac:dyDescent="0.35">
      <c r="A37" s="116" t="s">
        <v>28</v>
      </c>
      <c r="B37" s="117"/>
      <c r="C37" s="120">
        <f>C31*C25</f>
        <v>253840</v>
      </c>
      <c r="D37" s="120">
        <f t="shared" ref="D37:N37" si="65">D31*D25</f>
        <v>254093.83999999997</v>
      </c>
      <c r="E37" s="120">
        <f t="shared" si="65"/>
        <v>254347.93383999995</v>
      </c>
      <c r="F37" s="120">
        <f t="shared" si="65"/>
        <v>254602.2817738399</v>
      </c>
      <c r="G37" s="120">
        <f t="shared" si="65"/>
        <v>254856.88405561369</v>
      </c>
      <c r="H37" s="120">
        <f t="shared" si="65"/>
        <v>255111.74093966928</v>
      </c>
      <c r="I37" s="120">
        <f t="shared" si="65"/>
        <v>255366.85268060892</v>
      </c>
      <c r="J37" s="120">
        <f t="shared" si="65"/>
        <v>255622.21953328946</v>
      </c>
      <c r="K37" s="120">
        <f t="shared" si="65"/>
        <v>255877.84175282271</v>
      </c>
      <c r="L37" s="120">
        <f t="shared" si="65"/>
        <v>256133.71959457552</v>
      </c>
      <c r="M37" s="120">
        <f t="shared" si="65"/>
        <v>256389.85331417006</v>
      </c>
      <c r="N37" s="120">
        <f t="shared" si="65"/>
        <v>256646.24316748424</v>
      </c>
    </row>
    <row r="38" spans="1:14" s="123" customFormat="1" ht="16.2" x14ac:dyDescent="0.35">
      <c r="A38" s="122" t="s">
        <v>29</v>
      </c>
      <c r="C38" s="124">
        <f>C32*C25</f>
        <v>406144</v>
      </c>
      <c r="D38" s="124">
        <f t="shared" ref="D38:N38" si="66">D32*D25</f>
        <v>406550.14399999997</v>
      </c>
      <c r="E38" s="124">
        <f t="shared" si="66"/>
        <v>406956.69414399995</v>
      </c>
      <c r="F38" s="124">
        <f t="shared" si="66"/>
        <v>407363.65083814389</v>
      </c>
      <c r="G38" s="124">
        <f t="shared" si="66"/>
        <v>407771.01448898192</v>
      </c>
      <c r="H38" s="124">
        <f t="shared" si="66"/>
        <v>408178.78550347086</v>
      </c>
      <c r="I38" s="124">
        <f t="shared" si="66"/>
        <v>408586.9642889743</v>
      </c>
      <c r="J38" s="124">
        <f t="shared" si="66"/>
        <v>408995.55125326314</v>
      </c>
      <c r="K38" s="124">
        <f t="shared" si="66"/>
        <v>409404.54680451634</v>
      </c>
      <c r="L38" s="124">
        <f t="shared" si="66"/>
        <v>409813.95135132084</v>
      </c>
      <c r="M38" s="124">
        <f t="shared" si="66"/>
        <v>410223.76530267211</v>
      </c>
      <c r="N38" s="124">
        <f t="shared" si="66"/>
        <v>410633.98906797479</v>
      </c>
    </row>
    <row r="39" spans="1:14" x14ac:dyDescent="0.3">
      <c r="A39" s="119"/>
      <c r="B39" s="117"/>
      <c r="C39" s="118"/>
      <c r="D39" s="118"/>
      <c r="E39" s="118"/>
      <c r="F39" s="118"/>
      <c r="G39" s="118"/>
      <c r="H39" s="118"/>
      <c r="I39" s="118"/>
      <c r="J39" s="118"/>
      <c r="K39" s="118"/>
      <c r="L39" s="118"/>
      <c r="M39" s="118"/>
      <c r="N39" s="118"/>
    </row>
    <row r="40" spans="1:14" ht="16.2" x14ac:dyDescent="0.35">
      <c r="A40" s="116" t="s">
        <v>101</v>
      </c>
      <c r="B40" s="117"/>
      <c r="C40" s="121">
        <f>C35+C36</f>
        <v>355376</v>
      </c>
      <c r="D40" s="121">
        <f t="shared" ref="D40:N40" si="67">D35+D36</f>
        <v>355731.37599999993</v>
      </c>
      <c r="E40" s="121">
        <f t="shared" si="67"/>
        <v>356087.10737599991</v>
      </c>
      <c r="F40" s="121">
        <f t="shared" si="67"/>
        <v>356443.19448337588</v>
      </c>
      <c r="G40" s="121">
        <f t="shared" si="67"/>
        <v>356799.63767785917</v>
      </c>
      <c r="H40" s="121">
        <f t="shared" si="67"/>
        <v>357156.43731553701</v>
      </c>
      <c r="I40" s="121">
        <f t="shared" si="67"/>
        <v>357513.59375285252</v>
      </c>
      <c r="J40" s="121">
        <f t="shared" si="67"/>
        <v>357871.10734660528</v>
      </c>
      <c r="K40" s="121">
        <f t="shared" si="67"/>
        <v>358228.97845395177</v>
      </c>
      <c r="L40" s="121">
        <f t="shared" si="67"/>
        <v>358587.20743240573</v>
      </c>
      <c r="M40" s="121">
        <f t="shared" si="67"/>
        <v>358945.79463983804</v>
      </c>
      <c r="N40" s="121">
        <f t="shared" si="67"/>
        <v>359304.74043447792</v>
      </c>
    </row>
    <row r="41" spans="1:14" ht="16.2" x14ac:dyDescent="0.35">
      <c r="A41" s="116" t="s">
        <v>102</v>
      </c>
      <c r="B41" s="117"/>
      <c r="C41" s="121">
        <f>SUM(C35:C37)</f>
        <v>609216</v>
      </c>
      <c r="D41" s="121">
        <f t="shared" ref="D41:N41" si="68">SUM(D35:D37)</f>
        <v>609825.2159999999</v>
      </c>
      <c r="E41" s="121">
        <f t="shared" si="68"/>
        <v>610435.04121599987</v>
      </c>
      <c r="F41" s="121">
        <f t="shared" si="68"/>
        <v>611045.47625721572</v>
      </c>
      <c r="G41" s="121">
        <f t="shared" si="68"/>
        <v>611656.52173347282</v>
      </c>
      <c r="H41" s="121">
        <f t="shared" si="68"/>
        <v>612268.17825520632</v>
      </c>
      <c r="I41" s="121">
        <f t="shared" si="68"/>
        <v>612880.4464334615</v>
      </c>
      <c r="J41" s="121">
        <f t="shared" si="68"/>
        <v>613493.32687989471</v>
      </c>
      <c r="K41" s="121">
        <f t="shared" si="68"/>
        <v>614106.82020677452</v>
      </c>
      <c r="L41" s="121">
        <f t="shared" si="68"/>
        <v>614720.92702698126</v>
      </c>
      <c r="M41" s="121">
        <f t="shared" si="68"/>
        <v>615335.64795400808</v>
      </c>
      <c r="N41" s="121">
        <f t="shared" si="68"/>
        <v>615950.98360196222</v>
      </c>
    </row>
    <row r="42" spans="1:14" x14ac:dyDescent="0.3">
      <c r="A42" s="119"/>
      <c r="B42" s="117"/>
      <c r="C42" s="118"/>
      <c r="D42" s="118"/>
      <c r="E42" s="118"/>
      <c r="F42" s="118"/>
      <c r="G42" s="118"/>
      <c r="H42" s="118"/>
      <c r="I42" s="118"/>
      <c r="J42" s="118"/>
      <c r="K42" s="118"/>
      <c r="L42" s="118"/>
      <c r="M42" s="118"/>
      <c r="N42" s="118"/>
    </row>
    <row r="43" spans="1:14" x14ac:dyDescent="0.3">
      <c r="A43"/>
      <c r="C43" s="113"/>
      <c r="D43" s="113"/>
      <c r="E43" s="113"/>
      <c r="F43" s="113"/>
      <c r="G43" s="113"/>
      <c r="H43" s="113"/>
      <c r="I43" s="113"/>
      <c r="J43" s="113"/>
      <c r="K43" s="113"/>
      <c r="L43" s="113"/>
      <c r="M43" s="113"/>
      <c r="N43" s="113"/>
    </row>
    <row r="44" spans="1:14" ht="16.2" x14ac:dyDescent="0.35">
      <c r="A44" s="105" t="s">
        <v>100</v>
      </c>
    </row>
    <row r="45" spans="1:14" ht="16.2" x14ac:dyDescent="0.35">
      <c r="A45" s="105" t="s">
        <v>29</v>
      </c>
      <c r="C45" s="115">
        <f t="shared" ref="C45:N45" si="69">VLOOKUP($A$45,$A$29:$N$32,3,FALSE)</f>
        <v>0.4</v>
      </c>
      <c r="D45" s="115">
        <f t="shared" si="69"/>
        <v>0.4</v>
      </c>
      <c r="E45" s="115">
        <f t="shared" si="69"/>
        <v>0.4</v>
      </c>
      <c r="F45" s="115">
        <f t="shared" si="69"/>
        <v>0.4</v>
      </c>
      <c r="G45" s="115">
        <f t="shared" si="69"/>
        <v>0.4</v>
      </c>
      <c r="H45" s="115">
        <f t="shared" si="69"/>
        <v>0.4</v>
      </c>
      <c r="I45" s="115">
        <f t="shared" si="69"/>
        <v>0.4</v>
      </c>
      <c r="J45" s="115">
        <f t="shared" si="69"/>
        <v>0.4</v>
      </c>
      <c r="K45" s="115">
        <f t="shared" si="69"/>
        <v>0.4</v>
      </c>
      <c r="L45" s="115">
        <f t="shared" si="69"/>
        <v>0.4</v>
      </c>
      <c r="M45" s="115">
        <f t="shared" si="69"/>
        <v>0.4</v>
      </c>
      <c r="N45" s="115">
        <f t="shared" si="69"/>
        <v>0.4</v>
      </c>
    </row>
    <row r="46" spans="1:14" ht="16.2" x14ac:dyDescent="0.35">
      <c r="A46" s="105"/>
    </row>
    <row r="47" spans="1:14" ht="16.2" x14ac:dyDescent="0.35">
      <c r="A47" s="105" t="str">
        <f>"Selected " &amp;A45&amp;" Patients"</f>
        <v>Selected Stage IV Patients</v>
      </c>
      <c r="C47" s="112">
        <f t="shared" ref="C47:N47" si="70">C45*C25</f>
        <v>406144</v>
      </c>
      <c r="D47" s="112">
        <f t="shared" si="70"/>
        <v>406550.14399999997</v>
      </c>
      <c r="E47" s="112">
        <f t="shared" si="70"/>
        <v>406956.69414399995</v>
      </c>
      <c r="F47" s="112">
        <f t="shared" si="70"/>
        <v>407363.65083814389</v>
      </c>
      <c r="G47" s="112">
        <f t="shared" si="70"/>
        <v>407771.01448898192</v>
      </c>
      <c r="H47" s="112">
        <f t="shared" si="70"/>
        <v>408178.78550347086</v>
      </c>
      <c r="I47" s="112">
        <f t="shared" si="70"/>
        <v>408586.9642889743</v>
      </c>
      <c r="J47" s="112">
        <f t="shared" si="70"/>
        <v>408995.55125326314</v>
      </c>
      <c r="K47" s="112">
        <f t="shared" si="70"/>
        <v>409404.54680451634</v>
      </c>
      <c r="L47" s="112">
        <f t="shared" si="70"/>
        <v>409813.95135132084</v>
      </c>
      <c r="M47" s="112">
        <f t="shared" si="70"/>
        <v>410223.76530267211</v>
      </c>
      <c r="N47" s="112">
        <f t="shared" si="70"/>
        <v>410633.98906797479</v>
      </c>
    </row>
    <row r="48" spans="1:14" ht="16.2" x14ac:dyDescent="0.35">
      <c r="A48" s="105"/>
    </row>
    <row r="49" spans="1:14" ht="16.2" x14ac:dyDescent="0.35">
      <c r="A49" s="105" t="s">
        <v>103</v>
      </c>
      <c r="B49" s="97" t="s">
        <v>107</v>
      </c>
    </row>
    <row r="50" spans="1:14" ht="16.2" x14ac:dyDescent="0.35">
      <c r="A50" s="105" t="s">
        <v>38</v>
      </c>
      <c r="B50" s="125">
        <v>2</v>
      </c>
      <c r="C50" s="126">
        <f ca="1">IF($B50&lt;C$4,OFFSET(C35,0,-$B50)*10%,0)</f>
        <v>0</v>
      </c>
      <c r="D50" s="126">
        <f t="shared" ref="D50:N50" ca="1" si="71">IF($B50&lt;D$4,OFFSET(D35,0,-$B50)*10%,0)</f>
        <v>0</v>
      </c>
      <c r="E50" s="126">
        <f t="shared" ca="1" si="71"/>
        <v>15230.400000000001</v>
      </c>
      <c r="F50" s="126">
        <f t="shared" ca="1" si="71"/>
        <v>15245.630399999998</v>
      </c>
      <c r="G50" s="126">
        <f t="shared" ca="1" si="71"/>
        <v>15260.876030399997</v>
      </c>
      <c r="H50" s="126">
        <f t="shared" ca="1" si="71"/>
        <v>15276.136906430394</v>
      </c>
      <c r="I50" s="126">
        <f t="shared" ca="1" si="71"/>
        <v>15291.413043336821</v>
      </c>
      <c r="J50" s="126">
        <f t="shared" ca="1" si="71"/>
        <v>15306.704456380156</v>
      </c>
      <c r="K50" s="126">
        <f t="shared" ca="1" si="71"/>
        <v>15322.011160836535</v>
      </c>
      <c r="L50" s="126">
        <f t="shared" ca="1" si="71"/>
        <v>15337.333171997368</v>
      </c>
      <c r="M50" s="126">
        <f t="shared" ca="1" si="71"/>
        <v>15352.670505169364</v>
      </c>
      <c r="N50" s="126">
        <f t="shared" ca="1" si="71"/>
        <v>15368.023175674532</v>
      </c>
    </row>
    <row r="51" spans="1:14" ht="16.2" x14ac:dyDescent="0.35">
      <c r="A51" s="105" t="s">
        <v>104</v>
      </c>
      <c r="B51" s="125">
        <v>6</v>
      </c>
      <c r="C51" s="126">
        <f ca="1">IF($B51&lt;C$4,OFFSET(C36,0,-$B51)*10%,0)</f>
        <v>0</v>
      </c>
      <c r="D51" s="126">
        <f t="shared" ref="D51:N51" ca="1" si="72">IF($B51&lt;D$4,OFFSET(D36,0,-$B51)*10%,0)</f>
        <v>0</v>
      </c>
      <c r="E51" s="126">
        <f t="shared" ca="1" si="72"/>
        <v>0</v>
      </c>
      <c r="F51" s="126">
        <f t="shared" ca="1" si="72"/>
        <v>0</v>
      </c>
      <c r="G51" s="126">
        <f t="shared" ca="1" si="72"/>
        <v>0</v>
      </c>
      <c r="H51" s="126">
        <f t="shared" ca="1" si="72"/>
        <v>0</v>
      </c>
      <c r="I51" s="126">
        <f t="shared" ca="1" si="72"/>
        <v>20307.2</v>
      </c>
      <c r="J51" s="126">
        <f t="shared" ca="1" si="72"/>
        <v>20327.5072</v>
      </c>
      <c r="K51" s="126">
        <f t="shared" ca="1" si="72"/>
        <v>20347.8347072</v>
      </c>
      <c r="L51" s="126">
        <f t="shared" ca="1" si="72"/>
        <v>20368.182541907197</v>
      </c>
      <c r="M51" s="126">
        <f t="shared" ca="1" si="72"/>
        <v>20388.550724449098</v>
      </c>
      <c r="N51" s="126">
        <f t="shared" ca="1" si="72"/>
        <v>20408.939275173543</v>
      </c>
    </row>
    <row r="52" spans="1:14" ht="16.2" x14ac:dyDescent="0.35">
      <c r="A52" s="105" t="s">
        <v>105</v>
      </c>
      <c r="B52" s="125">
        <v>6</v>
      </c>
      <c r="C52" s="126">
        <f t="shared" ref="C52:N52" ca="1" si="73">IF($B52&lt;C$4,OFFSET(C37,0,-$B52)*10%,0)</f>
        <v>0</v>
      </c>
      <c r="D52" s="126">
        <f t="shared" ca="1" si="73"/>
        <v>0</v>
      </c>
      <c r="E52" s="126">
        <f t="shared" ca="1" si="73"/>
        <v>0</v>
      </c>
      <c r="F52" s="126">
        <f t="shared" ca="1" si="73"/>
        <v>0</v>
      </c>
      <c r="G52" s="126">
        <f t="shared" ca="1" si="73"/>
        <v>0</v>
      </c>
      <c r="H52" s="126">
        <f t="shared" ca="1" si="73"/>
        <v>0</v>
      </c>
      <c r="I52" s="126">
        <f t="shared" ca="1" si="73"/>
        <v>25384</v>
      </c>
      <c r="J52" s="126">
        <f t="shared" ca="1" si="73"/>
        <v>25409.383999999998</v>
      </c>
      <c r="K52" s="126">
        <f t="shared" ca="1" si="73"/>
        <v>25434.793383999997</v>
      </c>
      <c r="L52" s="126">
        <f t="shared" ca="1" si="73"/>
        <v>25460.228177383993</v>
      </c>
      <c r="M52" s="126">
        <f t="shared" ca="1" si="73"/>
        <v>25485.68840556137</v>
      </c>
      <c r="N52" s="126">
        <f t="shared" ca="1" si="73"/>
        <v>25511.174093966929</v>
      </c>
    </row>
    <row r="53" spans="1:14" ht="16.2" x14ac:dyDescent="0.35">
      <c r="A53" s="105"/>
    </row>
    <row r="54" spans="1:14" ht="16.2" x14ac:dyDescent="0.35">
      <c r="A54" s="105"/>
    </row>
    <row r="55" spans="1:14" s="110" customFormat="1" ht="16.2" x14ac:dyDescent="0.35">
      <c r="A55" s="110" t="s">
        <v>106</v>
      </c>
      <c r="C55" s="127">
        <f ca="1">SUM(C47+C52)</f>
        <v>406144</v>
      </c>
      <c r="D55" s="127">
        <f t="shared" ref="D55:N55" ca="1" si="74">SUM(D47+D52)</f>
        <v>406550.14399999997</v>
      </c>
      <c r="E55" s="127">
        <f t="shared" ca="1" si="74"/>
        <v>406956.69414399995</v>
      </c>
      <c r="F55" s="127">
        <f t="shared" ca="1" si="74"/>
        <v>407363.65083814389</v>
      </c>
      <c r="G55" s="127">
        <f t="shared" ca="1" si="74"/>
        <v>407771.01448898192</v>
      </c>
      <c r="H55" s="127">
        <f t="shared" ca="1" si="74"/>
        <v>408178.78550347086</v>
      </c>
      <c r="I55" s="127">
        <f t="shared" ca="1" si="74"/>
        <v>433970.9642889743</v>
      </c>
      <c r="J55" s="127">
        <f t="shared" ca="1" si="74"/>
        <v>434404.93525326316</v>
      </c>
      <c r="K55" s="127">
        <f t="shared" ca="1" si="74"/>
        <v>434839.34018851636</v>
      </c>
      <c r="L55" s="127">
        <f t="shared" ca="1" si="74"/>
        <v>435274.17952870484</v>
      </c>
      <c r="M55" s="127">
        <f t="shared" ca="1" si="74"/>
        <v>435709.45370823349</v>
      </c>
      <c r="N55" s="127">
        <f t="shared" ca="1" si="74"/>
        <v>436145.16316194175</v>
      </c>
    </row>
    <row r="58" spans="1:14" x14ac:dyDescent="0.3">
      <c r="A58" s="17" t="s">
        <v>108</v>
      </c>
    </row>
    <row r="59" spans="1:14" x14ac:dyDescent="0.3">
      <c r="A59" s="97" t="s">
        <v>84</v>
      </c>
      <c r="B59" s="113"/>
      <c r="C59" s="113">
        <v>0.6</v>
      </c>
      <c r="D59" s="113">
        <v>0.6</v>
      </c>
      <c r="E59" s="113">
        <v>0.6</v>
      </c>
      <c r="F59" s="113">
        <v>0.6</v>
      </c>
      <c r="G59" s="113">
        <v>0.6</v>
      </c>
      <c r="H59" s="113">
        <v>0.6</v>
      </c>
      <c r="I59" s="113">
        <v>0.6</v>
      </c>
      <c r="J59" s="113">
        <v>0.6</v>
      </c>
      <c r="K59" s="113">
        <v>0.6</v>
      </c>
      <c r="L59" s="113">
        <v>0.6</v>
      </c>
      <c r="M59" s="113">
        <v>0.6</v>
      </c>
      <c r="N59" s="113">
        <v>0.6</v>
      </c>
    </row>
    <row r="60" spans="1:14" x14ac:dyDescent="0.3">
      <c r="A60" s="97" t="s">
        <v>85</v>
      </c>
      <c r="B60" s="113"/>
      <c r="C60" s="113">
        <v>0.3</v>
      </c>
      <c r="D60" s="113">
        <v>0.3</v>
      </c>
      <c r="E60" s="113">
        <v>0.3</v>
      </c>
      <c r="F60" s="113">
        <v>0.3</v>
      </c>
      <c r="G60" s="113">
        <v>0.3</v>
      </c>
      <c r="H60" s="113">
        <v>0.3</v>
      </c>
      <c r="I60" s="113">
        <v>0.3</v>
      </c>
      <c r="J60" s="113">
        <v>0.3</v>
      </c>
      <c r="K60" s="113">
        <v>0.3</v>
      </c>
      <c r="L60" s="113">
        <v>0.3</v>
      </c>
      <c r="M60" s="113">
        <v>0.3</v>
      </c>
      <c r="N60" s="113">
        <v>0.3</v>
      </c>
    </row>
    <row r="61" spans="1:14" x14ac:dyDescent="0.3">
      <c r="A61" s="97" t="s">
        <v>86</v>
      </c>
      <c r="B61" s="113"/>
      <c r="C61" s="113">
        <v>0.1</v>
      </c>
      <c r="D61" s="113">
        <v>0.1</v>
      </c>
      <c r="E61" s="113">
        <v>0.1</v>
      </c>
      <c r="F61" s="113">
        <v>0.1</v>
      </c>
      <c r="G61" s="113">
        <v>0.1</v>
      </c>
      <c r="H61" s="113">
        <v>0.1</v>
      </c>
      <c r="I61" s="113">
        <v>0.1</v>
      </c>
      <c r="J61" s="113">
        <v>0.1</v>
      </c>
      <c r="K61" s="113">
        <v>0.1</v>
      </c>
      <c r="L61" s="113">
        <v>0.1</v>
      </c>
      <c r="M61" s="113">
        <v>0.1</v>
      </c>
      <c r="N61" s="113">
        <v>0.1</v>
      </c>
    </row>
    <row r="64" spans="1:14" x14ac:dyDescent="0.3">
      <c r="A64" s="97" t="s">
        <v>109</v>
      </c>
    </row>
    <row r="65" spans="1:14" x14ac:dyDescent="0.3">
      <c r="A65" s="17" t="s">
        <v>84</v>
      </c>
      <c r="B65" s="115"/>
      <c r="C65" s="115">
        <f t="shared" ref="C65:N65" si="75">VLOOKUP($A$65,$A$59:$N$61,3,FALSE)</f>
        <v>0.6</v>
      </c>
      <c r="D65" s="115">
        <f t="shared" si="75"/>
        <v>0.6</v>
      </c>
      <c r="E65" s="115">
        <f t="shared" si="75"/>
        <v>0.6</v>
      </c>
      <c r="F65" s="115">
        <f t="shared" si="75"/>
        <v>0.6</v>
      </c>
      <c r="G65" s="115">
        <f t="shared" si="75"/>
        <v>0.6</v>
      </c>
      <c r="H65" s="115">
        <f t="shared" si="75"/>
        <v>0.6</v>
      </c>
      <c r="I65" s="115">
        <f t="shared" si="75"/>
        <v>0.6</v>
      </c>
      <c r="J65" s="115">
        <f t="shared" si="75"/>
        <v>0.6</v>
      </c>
      <c r="K65" s="115">
        <f t="shared" si="75"/>
        <v>0.6</v>
      </c>
      <c r="L65" s="115">
        <f t="shared" si="75"/>
        <v>0.6</v>
      </c>
      <c r="M65" s="115">
        <f t="shared" si="75"/>
        <v>0.6</v>
      </c>
      <c r="N65" s="115">
        <f t="shared" si="75"/>
        <v>0.6</v>
      </c>
    </row>
    <row r="68" spans="1:14" x14ac:dyDescent="0.3">
      <c r="A68" s="97" t="str">
        <f>"Selected "&amp;A65&amp;" Patients"</f>
        <v>Selected First Line Therapy Patients</v>
      </c>
      <c r="C68" s="112">
        <f ca="1">C65*C55</f>
        <v>243686.39999999999</v>
      </c>
      <c r="D68" s="112">
        <f t="shared" ref="D68:N68" ca="1" si="76">D65*D55</f>
        <v>243930.08639999997</v>
      </c>
      <c r="E68" s="112">
        <f t="shared" ca="1" si="76"/>
        <v>244174.01648639995</v>
      </c>
      <c r="F68" s="112">
        <f t="shared" ca="1" si="76"/>
        <v>244418.19050288631</v>
      </c>
      <c r="G68" s="112">
        <f t="shared" ca="1" si="76"/>
        <v>244662.60869338913</v>
      </c>
      <c r="H68" s="112">
        <f t="shared" ca="1" si="76"/>
        <v>244907.27130208252</v>
      </c>
      <c r="I68" s="112">
        <f t="shared" ca="1" si="76"/>
        <v>260382.57857338456</v>
      </c>
      <c r="J68" s="112">
        <f t="shared" ca="1" si="76"/>
        <v>260642.96115195789</v>
      </c>
      <c r="K68" s="112">
        <f t="shared" ca="1" si="76"/>
        <v>260903.60411310982</v>
      </c>
      <c r="L68" s="112">
        <f t="shared" ca="1" si="76"/>
        <v>261164.50771722291</v>
      </c>
      <c r="M68" s="112">
        <f t="shared" ca="1" si="76"/>
        <v>261425.67222494009</v>
      </c>
      <c r="N68" s="112">
        <f t="shared" ca="1" si="76"/>
        <v>261687.09789716505</v>
      </c>
    </row>
    <row r="70" spans="1:14" x14ac:dyDescent="0.3">
      <c r="A70" s="97" t="s">
        <v>88</v>
      </c>
      <c r="C70" s="113">
        <v>0.2</v>
      </c>
      <c r="D70" s="113">
        <v>0.2</v>
      </c>
      <c r="E70" s="113">
        <v>0.2</v>
      </c>
      <c r="F70" s="113">
        <v>0.2</v>
      </c>
      <c r="G70" s="113">
        <v>0.2</v>
      </c>
      <c r="H70" s="113">
        <v>0.2</v>
      </c>
      <c r="I70" s="113">
        <v>0.2</v>
      </c>
      <c r="J70" s="113">
        <v>0.2</v>
      </c>
      <c r="K70" s="113">
        <v>0.2</v>
      </c>
      <c r="L70" s="113">
        <v>0.2</v>
      </c>
      <c r="M70" s="113">
        <v>0.2</v>
      </c>
      <c r="N70" s="113">
        <v>0.2</v>
      </c>
    </row>
    <row r="71" spans="1:14" s="103" customFormat="1" x14ac:dyDescent="0.3">
      <c r="A71" s="103" t="s">
        <v>110</v>
      </c>
      <c r="C71" s="128">
        <f ca="1">C70*C68</f>
        <v>48737.279999999999</v>
      </c>
      <c r="D71" s="128">
        <f t="shared" ref="D71:N71" ca="1" si="77">D70*D68</f>
        <v>48786.01728</v>
      </c>
      <c r="E71" s="128">
        <f t="shared" ca="1" si="77"/>
        <v>48834.803297279992</v>
      </c>
      <c r="F71" s="128">
        <f t="shared" ca="1" si="77"/>
        <v>48883.638100577264</v>
      </c>
      <c r="G71" s="128">
        <f t="shared" ca="1" si="77"/>
        <v>48932.521738677831</v>
      </c>
      <c r="H71" s="128">
        <f t="shared" ca="1" si="77"/>
        <v>48981.454260416504</v>
      </c>
      <c r="I71" s="128">
        <f t="shared" ca="1" si="77"/>
        <v>52076.515714676912</v>
      </c>
      <c r="J71" s="128">
        <f t="shared" ca="1" si="77"/>
        <v>52128.59223039158</v>
      </c>
      <c r="K71" s="128">
        <f t="shared" ca="1" si="77"/>
        <v>52180.720822621966</v>
      </c>
      <c r="L71" s="128">
        <f t="shared" ca="1" si="77"/>
        <v>52232.901543444583</v>
      </c>
      <c r="M71" s="128">
        <f t="shared" ca="1" si="77"/>
        <v>52285.13444498802</v>
      </c>
      <c r="N71" s="128">
        <f t="shared" ca="1" si="77"/>
        <v>52337.419579433015</v>
      </c>
    </row>
    <row r="74" spans="1:14" x14ac:dyDescent="0.3">
      <c r="A74" s="97" t="s">
        <v>111</v>
      </c>
      <c r="B74" s="97">
        <v>2020</v>
      </c>
      <c r="C74" s="97">
        <v>2021</v>
      </c>
      <c r="D74" s="97">
        <v>2022</v>
      </c>
      <c r="E74" s="97">
        <v>2023</v>
      </c>
      <c r="F74" s="97">
        <v>2024</v>
      </c>
      <c r="G74" s="97">
        <v>2025</v>
      </c>
      <c r="H74" s="97">
        <v>2026</v>
      </c>
      <c r="I74" s="97">
        <v>2027</v>
      </c>
      <c r="J74" s="97">
        <v>2028</v>
      </c>
      <c r="K74" s="97">
        <v>2029</v>
      </c>
      <c r="L74" s="97">
        <v>2030</v>
      </c>
    </row>
    <row r="75" spans="1:14" x14ac:dyDescent="0.3">
      <c r="A75" s="97" t="s">
        <v>52</v>
      </c>
      <c r="E75" s="107">
        <v>52337</v>
      </c>
    </row>
    <row r="76" spans="1:14" x14ac:dyDescent="0.3">
      <c r="A76" s="97" t="s">
        <v>112</v>
      </c>
    </row>
    <row r="77" spans="1:14" x14ac:dyDescent="0.3">
      <c r="A77" s="97">
        <v>1000</v>
      </c>
      <c r="B77" s="129">
        <v>52000000</v>
      </c>
      <c r="E77" s="131">
        <f>E75*A77</f>
        <v>52337000</v>
      </c>
      <c r="F77" s="131">
        <f>E77*(1+0.22%)</f>
        <v>52452141.399999999</v>
      </c>
      <c r="G77" s="131">
        <f t="shared" ref="G77:L77" si="78">F77*(1+0.22%)</f>
        <v>52567536.111079998</v>
      </c>
      <c r="H77" s="131">
        <f t="shared" si="78"/>
        <v>52683184.690524377</v>
      </c>
      <c r="I77" s="131">
        <f t="shared" si="78"/>
        <v>52799087.696843527</v>
      </c>
      <c r="J77" s="131">
        <f t="shared" si="78"/>
        <v>52915245.689776585</v>
      </c>
      <c r="K77" s="131">
        <f>J77*(1+0.22%)</f>
        <v>53031659.230294093</v>
      </c>
      <c r="L77" s="131">
        <f t="shared" si="78"/>
        <v>53148328.880600743</v>
      </c>
    </row>
    <row r="79" spans="1:14" x14ac:dyDescent="0.3">
      <c r="E79" s="130">
        <f>(E77/B77)^(1/3)-1</f>
        <v>2.1556064323899893E-3</v>
      </c>
    </row>
  </sheetData>
  <phoneticPr fontId="2" type="noConversion"/>
  <dataValidations count="3">
    <dataValidation type="list" allowBlank="1" showInputMessage="1" showErrorMessage="1" sqref="A23" xr:uid="{925A48AB-4F3E-4E3D-A34E-99865E2A3D1B}">
      <formula1>$A$18:$A$20</formula1>
    </dataValidation>
    <dataValidation type="list" allowBlank="1" showInputMessage="1" showErrorMessage="1" sqref="A45" xr:uid="{F45764B7-E8D4-477B-854E-CBDB81FAED4D}">
      <formula1>$A$29:$A$32</formula1>
    </dataValidation>
    <dataValidation type="list" allowBlank="1" showInputMessage="1" showErrorMessage="1" sqref="A65" xr:uid="{7B29490B-6624-42D1-B606-787DAB094564}">
      <formula1>$A$59:$A$61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Calc.1</vt:lpstr>
      <vt:lpstr>Calc. 2</vt:lpstr>
      <vt:lpstr>Cancer Disease Progression</vt:lpstr>
      <vt:lpstr>Input</vt:lpstr>
      <vt:lpstr>Forecasting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dc:creator>
  <cp:lastModifiedBy>CHINMAY</cp:lastModifiedBy>
  <dcterms:created xsi:type="dcterms:W3CDTF">2025-04-08T05:01:00Z</dcterms:created>
  <dcterms:modified xsi:type="dcterms:W3CDTF">2025-06-24T05:59:34Z</dcterms:modified>
</cp:coreProperties>
</file>